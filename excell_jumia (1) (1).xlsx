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ech Clinic\Desktop\"/>
    </mc:Choice>
  </mc:AlternateContent>
  <xr:revisionPtr revIDLastSave="0" documentId="8_{2671E3B6-0815-492F-ACC2-39575D5B664F}" xr6:coauthVersionLast="47" xr6:coauthVersionMax="47" xr10:uidLastSave="{00000000-0000-0000-0000-000000000000}"/>
  <bookViews>
    <workbookView xWindow="-120" yWindow="-120" windowWidth="20730" windowHeight="11040" tabRatio="1000" firstSheet="11" activeTab="15" xr2:uid="{8B0B0CEC-77E8-495E-A96E-D1FACC8483A2}"/>
  </bookViews>
  <sheets>
    <sheet name="Excel_jumia" sheetId="1" r:id="rId1"/>
    <sheet name="Product Discount Categories" sheetId="21" r:id="rId2"/>
    <sheet name="Total Number of Products Review" sheetId="17" r:id="rId3"/>
    <sheet name="Averages" sheetId="5" r:id="rId4"/>
    <sheet name="Average Rating of Discount" sheetId="3" r:id="rId5"/>
    <sheet name="Product Distribution Rating Ca" sheetId="4" r:id="rId6"/>
    <sheet name="Discount % vs Reviews" sheetId="7" r:id="rId7"/>
    <sheet name="Rating vs Reviews" sheetId="8" r:id="rId8"/>
    <sheet name="Discount % C.Engagement" sheetId="9" r:id="rId9"/>
    <sheet name="Higher Rating vs Reviews" sheetId="10" r:id="rId10"/>
    <sheet name="Top 10 Discounts" sheetId="11" r:id="rId11"/>
    <sheet name="Top 10 Reviews" sheetId="12" r:id="rId12"/>
    <sheet name="Top 5 Highest rated products" sheetId="13" r:id="rId13"/>
    <sheet name="Bottom 5 lowest-rated products" sheetId="15" r:id="rId14"/>
    <sheet name="Discount, Reviews, Ratings" sheetId="16" r:id="rId15"/>
    <sheet name="Dashboard" sheetId="18" r:id="rId16"/>
  </sheets>
  <definedNames>
    <definedName name="Slicer_Discount_Category">#N/A</definedName>
    <definedName name="Slicer_Rating_Category">#N/A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1" i="1" l="1"/>
  <c r="F111" i="1"/>
  <c r="D111" i="1"/>
  <c r="C111" i="1"/>
  <c r="J39" i="1"/>
  <c r="J85" i="1"/>
  <c r="J68" i="1"/>
  <c r="J84" i="1"/>
  <c r="J99" i="1"/>
  <c r="J86" i="1"/>
  <c r="J67" i="1"/>
  <c r="J4" i="1"/>
  <c r="J46" i="1"/>
  <c r="J92" i="1"/>
  <c r="J73" i="1"/>
  <c r="J38" i="1"/>
  <c r="J54" i="1"/>
  <c r="J76" i="1"/>
  <c r="J12" i="1"/>
  <c r="J44" i="1"/>
  <c r="J22" i="1"/>
  <c r="J93" i="1"/>
  <c r="J23" i="1"/>
  <c r="J9" i="1"/>
  <c r="J55" i="1"/>
  <c r="J70" i="1"/>
  <c r="J88" i="1"/>
  <c r="J6" i="1"/>
  <c r="J71" i="1"/>
  <c r="J94" i="1"/>
  <c r="J78" i="1"/>
  <c r="J79" i="1"/>
  <c r="J45" i="1"/>
  <c r="J10" i="1"/>
  <c r="J72" i="1"/>
  <c r="J32" i="1"/>
  <c r="J81" i="1"/>
  <c r="J82" i="1"/>
  <c r="J61" i="1"/>
  <c r="J8" i="1"/>
  <c r="J58" i="1"/>
  <c r="J63" i="1"/>
  <c r="J65" i="1"/>
  <c r="J28" i="1"/>
  <c r="J19" i="1"/>
  <c r="J57" i="1"/>
  <c r="J104" i="1"/>
  <c r="J16" i="1"/>
  <c r="J77" i="1"/>
  <c r="J26" i="1"/>
  <c r="J66" i="1"/>
  <c r="J3" i="1"/>
  <c r="J18" i="1"/>
  <c r="J107" i="1"/>
  <c r="J90" i="1"/>
  <c r="J103" i="1"/>
  <c r="J60" i="1"/>
  <c r="J49" i="1"/>
  <c r="J34" i="1"/>
  <c r="J25" i="1"/>
  <c r="J83" i="1"/>
  <c r="J97" i="1"/>
  <c r="J7" i="1"/>
  <c r="J5" i="1"/>
  <c r="J24" i="1"/>
  <c r="J11" i="1"/>
  <c r="J89" i="1"/>
  <c r="J47" i="1"/>
  <c r="J14" i="1"/>
  <c r="J62" i="1"/>
  <c r="J48" i="1"/>
  <c r="J80" i="1"/>
  <c r="J51" i="1"/>
  <c r="J50" i="1"/>
  <c r="J36" i="1"/>
  <c r="J37" i="1"/>
  <c r="J41" i="1"/>
  <c r="J52" i="1"/>
  <c r="J102" i="1"/>
  <c r="J31" i="1"/>
  <c r="J43" i="1"/>
  <c r="J20" i="1"/>
  <c r="J69" i="1"/>
  <c r="J106" i="1"/>
  <c r="J21" i="1"/>
  <c r="J96" i="1"/>
  <c r="J29" i="1"/>
  <c r="J98" i="1"/>
  <c r="J95" i="1"/>
  <c r="J53" i="1"/>
  <c r="J17" i="1"/>
  <c r="J33" i="1"/>
  <c r="J35" i="1"/>
  <c r="J40" i="1"/>
  <c r="J15" i="1"/>
  <c r="J100" i="1"/>
  <c r="J109" i="1"/>
  <c r="J30" i="1"/>
  <c r="J101" i="1"/>
  <c r="J27" i="1"/>
  <c r="J56" i="1"/>
  <c r="J91" i="1"/>
  <c r="J59" i="1"/>
  <c r="J110" i="1"/>
  <c r="J87" i="1"/>
  <c r="J75" i="1"/>
  <c r="J74" i="1"/>
  <c r="J108" i="1"/>
  <c r="J105" i="1"/>
  <c r="J2" i="1"/>
  <c r="J13" i="1"/>
  <c r="J42" i="1"/>
  <c r="J64" i="1"/>
  <c r="I64" i="1"/>
  <c r="I39" i="1"/>
  <c r="I85" i="1"/>
  <c r="I68" i="1"/>
  <c r="I84" i="1"/>
  <c r="I99" i="1"/>
  <c r="I86" i="1"/>
  <c r="I67" i="1"/>
  <c r="I4" i="1"/>
  <c r="I46" i="1"/>
  <c r="I92" i="1"/>
  <c r="I73" i="1"/>
  <c r="I38" i="1"/>
  <c r="I54" i="1"/>
  <c r="I76" i="1"/>
  <c r="I12" i="1"/>
  <c r="I44" i="1"/>
  <c r="I22" i="1"/>
  <c r="I93" i="1"/>
  <c r="I23" i="1"/>
  <c r="I9" i="1"/>
  <c r="I55" i="1"/>
  <c r="I70" i="1"/>
  <c r="I88" i="1"/>
  <c r="I6" i="1"/>
  <c r="I71" i="1"/>
  <c r="I94" i="1"/>
  <c r="I78" i="1"/>
  <c r="I79" i="1"/>
  <c r="I45" i="1"/>
  <c r="I10" i="1"/>
  <c r="I72" i="1"/>
  <c r="I32" i="1"/>
  <c r="I81" i="1"/>
  <c r="I82" i="1"/>
  <c r="I61" i="1"/>
  <c r="I8" i="1"/>
  <c r="I58" i="1"/>
  <c r="I63" i="1"/>
  <c r="I65" i="1"/>
  <c r="I28" i="1"/>
  <c r="I19" i="1"/>
  <c r="I57" i="1"/>
  <c r="I104" i="1"/>
  <c r="I16" i="1"/>
  <c r="I77" i="1"/>
  <c r="I26" i="1"/>
  <c r="I66" i="1"/>
  <c r="I3" i="1"/>
  <c r="I18" i="1"/>
  <c r="I107" i="1"/>
  <c r="I90" i="1"/>
  <c r="I103" i="1"/>
  <c r="I60" i="1"/>
  <c r="I49" i="1"/>
  <c r="I34" i="1"/>
  <c r="I25" i="1"/>
  <c r="I83" i="1"/>
  <c r="I97" i="1"/>
  <c r="I7" i="1"/>
  <c r="I5" i="1"/>
  <c r="I24" i="1"/>
  <c r="I11" i="1"/>
  <c r="I89" i="1"/>
  <c r="I47" i="1"/>
  <c r="I14" i="1"/>
  <c r="I62" i="1"/>
  <c r="I48" i="1"/>
  <c r="I80" i="1"/>
  <c r="I51" i="1"/>
  <c r="I50" i="1"/>
  <c r="I36" i="1"/>
  <c r="I37" i="1"/>
  <c r="I41" i="1"/>
  <c r="I52" i="1"/>
  <c r="I102" i="1"/>
  <c r="I31" i="1"/>
  <c r="I43" i="1"/>
  <c r="I20" i="1"/>
  <c r="I69" i="1"/>
  <c r="I106" i="1"/>
  <c r="I21" i="1"/>
  <c r="I96" i="1"/>
  <c r="I29" i="1"/>
  <c r="I98" i="1"/>
  <c r="I95" i="1"/>
  <c r="I53" i="1"/>
  <c r="I17" i="1"/>
  <c r="I33" i="1"/>
  <c r="I35" i="1"/>
  <c r="I40" i="1"/>
  <c r="I15" i="1"/>
  <c r="I100" i="1"/>
  <c r="I109" i="1"/>
  <c r="I30" i="1"/>
  <c r="I101" i="1"/>
  <c r="I27" i="1"/>
  <c r="I56" i="1"/>
  <c r="I91" i="1"/>
  <c r="I59" i="1"/>
  <c r="I110" i="1"/>
  <c r="I87" i="1"/>
  <c r="I75" i="1"/>
  <c r="I74" i="1"/>
  <c r="I108" i="1"/>
  <c r="I105" i="1"/>
  <c r="I2" i="1"/>
  <c r="I13" i="1"/>
  <c r="I42" i="1"/>
  <c r="H64" i="1"/>
  <c r="H39" i="1"/>
  <c r="H85" i="1"/>
  <c r="H68" i="1"/>
  <c r="H84" i="1"/>
  <c r="H99" i="1"/>
  <c r="H86" i="1"/>
  <c r="H67" i="1"/>
  <c r="H4" i="1"/>
  <c r="H46" i="1"/>
  <c r="H92" i="1"/>
  <c r="H73" i="1"/>
  <c r="H38" i="1"/>
  <c r="H54" i="1"/>
  <c r="H76" i="1"/>
  <c r="H12" i="1"/>
  <c r="H44" i="1"/>
  <c r="H22" i="1"/>
  <c r="H93" i="1"/>
  <c r="H23" i="1"/>
  <c r="H9" i="1"/>
  <c r="H55" i="1"/>
  <c r="H70" i="1"/>
  <c r="H88" i="1"/>
  <c r="H6" i="1"/>
  <c r="H71" i="1"/>
  <c r="H94" i="1"/>
  <c r="H78" i="1"/>
  <c r="H79" i="1"/>
  <c r="H45" i="1"/>
  <c r="H10" i="1"/>
  <c r="H72" i="1"/>
  <c r="H32" i="1"/>
  <c r="H81" i="1"/>
  <c r="H82" i="1"/>
  <c r="H61" i="1"/>
  <c r="H8" i="1"/>
  <c r="H58" i="1"/>
  <c r="H63" i="1"/>
  <c r="H65" i="1"/>
  <c r="H28" i="1"/>
  <c r="H19" i="1"/>
  <c r="H57" i="1"/>
  <c r="H104" i="1"/>
  <c r="H16" i="1"/>
  <c r="H77" i="1"/>
  <c r="H26" i="1"/>
  <c r="H66" i="1"/>
  <c r="H3" i="1"/>
  <c r="H18" i="1"/>
  <c r="H107" i="1"/>
  <c r="H90" i="1"/>
  <c r="H103" i="1"/>
  <c r="H60" i="1"/>
  <c r="H49" i="1"/>
  <c r="H34" i="1"/>
  <c r="H25" i="1"/>
  <c r="H83" i="1"/>
  <c r="H97" i="1"/>
  <c r="H7" i="1"/>
  <c r="H5" i="1"/>
  <c r="H24" i="1"/>
  <c r="H11" i="1"/>
  <c r="H89" i="1"/>
  <c r="H47" i="1"/>
  <c r="H14" i="1"/>
  <c r="H62" i="1"/>
  <c r="H48" i="1"/>
  <c r="H80" i="1"/>
  <c r="H51" i="1"/>
  <c r="H50" i="1"/>
  <c r="H36" i="1"/>
  <c r="H37" i="1"/>
  <c r="H41" i="1"/>
  <c r="H52" i="1"/>
  <c r="H102" i="1"/>
  <c r="H31" i="1"/>
  <c r="H43" i="1"/>
  <c r="H20" i="1"/>
  <c r="H69" i="1"/>
  <c r="H106" i="1"/>
  <c r="H21" i="1"/>
  <c r="H96" i="1"/>
  <c r="H29" i="1"/>
  <c r="H98" i="1"/>
  <c r="H95" i="1"/>
  <c r="H53" i="1"/>
  <c r="H17" i="1"/>
  <c r="H33" i="1"/>
  <c r="H35" i="1"/>
  <c r="H40" i="1"/>
  <c r="H15" i="1"/>
  <c r="H100" i="1"/>
  <c r="H109" i="1"/>
  <c r="H30" i="1"/>
  <c r="H101" i="1"/>
  <c r="H27" i="1"/>
  <c r="H56" i="1"/>
  <c r="H91" i="1"/>
  <c r="H59" i="1"/>
  <c r="H110" i="1"/>
  <c r="H87" i="1"/>
  <c r="H75" i="1"/>
  <c r="H74" i="1"/>
  <c r="H108" i="1"/>
  <c r="H105" i="1"/>
  <c r="H2" i="1"/>
  <c r="H13" i="1"/>
  <c r="H42" i="1"/>
  <c r="G64" i="1"/>
  <c r="G39" i="1"/>
  <c r="G85" i="1"/>
  <c r="G68" i="1"/>
  <c r="G84" i="1"/>
  <c r="G99" i="1"/>
  <c r="G86" i="1"/>
  <c r="G67" i="1"/>
  <c r="G4" i="1"/>
  <c r="G46" i="1"/>
  <c r="G92" i="1"/>
  <c r="G73" i="1"/>
  <c r="G38" i="1"/>
  <c r="G54" i="1"/>
  <c r="G76" i="1"/>
  <c r="G12" i="1"/>
  <c r="G44" i="1"/>
  <c r="G22" i="1"/>
  <c r="G93" i="1"/>
  <c r="G23" i="1"/>
  <c r="G9" i="1"/>
  <c r="G55" i="1"/>
  <c r="G70" i="1"/>
  <c r="G88" i="1"/>
  <c r="G6" i="1"/>
  <c r="G71" i="1"/>
  <c r="G94" i="1"/>
  <c r="G78" i="1"/>
  <c r="G79" i="1"/>
  <c r="G45" i="1"/>
  <c r="G10" i="1"/>
  <c r="G72" i="1"/>
  <c r="G32" i="1"/>
  <c r="G81" i="1"/>
  <c r="G82" i="1"/>
  <c r="G61" i="1"/>
  <c r="G8" i="1"/>
  <c r="G58" i="1"/>
  <c r="G63" i="1"/>
  <c r="G65" i="1"/>
  <c r="G28" i="1"/>
  <c r="G19" i="1"/>
  <c r="G57" i="1"/>
  <c r="G104" i="1"/>
  <c r="G16" i="1"/>
  <c r="G77" i="1"/>
  <c r="G26" i="1"/>
  <c r="G66" i="1"/>
  <c r="G3" i="1"/>
  <c r="G18" i="1"/>
  <c r="G107" i="1"/>
  <c r="G90" i="1"/>
  <c r="G103" i="1"/>
  <c r="G60" i="1"/>
  <c r="G49" i="1"/>
  <c r="G34" i="1"/>
  <c r="G25" i="1"/>
  <c r="G83" i="1"/>
  <c r="G97" i="1"/>
  <c r="G7" i="1"/>
  <c r="G5" i="1"/>
  <c r="G24" i="1"/>
  <c r="G11" i="1"/>
  <c r="G89" i="1"/>
  <c r="G47" i="1"/>
  <c r="G14" i="1"/>
  <c r="G62" i="1"/>
  <c r="G48" i="1"/>
  <c r="G80" i="1"/>
  <c r="G51" i="1"/>
  <c r="G50" i="1"/>
  <c r="G36" i="1"/>
  <c r="G37" i="1"/>
  <c r="G41" i="1"/>
  <c r="G52" i="1"/>
  <c r="G102" i="1"/>
  <c r="G31" i="1"/>
  <c r="G43" i="1"/>
  <c r="G20" i="1"/>
  <c r="G69" i="1"/>
  <c r="G106" i="1"/>
  <c r="G21" i="1"/>
  <c r="G96" i="1"/>
  <c r="G29" i="1"/>
  <c r="G98" i="1"/>
  <c r="G95" i="1"/>
  <c r="G53" i="1"/>
  <c r="G17" i="1"/>
  <c r="G33" i="1"/>
  <c r="G35" i="1"/>
  <c r="G40" i="1"/>
  <c r="G15" i="1"/>
  <c r="G100" i="1"/>
  <c r="G109" i="1"/>
  <c r="G30" i="1"/>
  <c r="G101" i="1"/>
  <c r="G27" i="1"/>
  <c r="G56" i="1"/>
  <c r="G91" i="1"/>
  <c r="G59" i="1"/>
  <c r="G110" i="1"/>
  <c r="G87" i="1"/>
  <c r="G75" i="1"/>
  <c r="G74" i="1"/>
  <c r="G108" i="1"/>
  <c r="G105" i="1"/>
  <c r="G2" i="1"/>
  <c r="G13" i="1"/>
  <c r="G42" i="1"/>
  <c r="J111" i="1" l="1"/>
</calcChain>
</file>

<file path=xl/sharedStrings.xml><?xml version="1.0" encoding="utf-8"?>
<sst xmlns="http://schemas.openxmlformats.org/spreadsheetml/2006/main" count="381" uniqueCount="153">
  <si>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</si>
  <si>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</si>
  <si>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</si>
  <si>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</si>
  <si>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</si>
  <si>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</si>
  <si>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</si>
  <si>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</si>
  <si>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</si>
  <si>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</si>
  <si>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</si>
  <si>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</si>
  <si>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</si>
  <si>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</si>
  <si>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</si>
  <si>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</si>
  <si>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</si>
  <si>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</si>
  <si>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</si>
  <si>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</si>
  <si>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</si>
  <si>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</si>
  <si>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</si>
  <si>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</si>
  <si>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</si>
  <si>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</si>
  <si>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</si>
  <si>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</si>
  <si>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</si>
  <si>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</si>
  <si>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</si>
  <si>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</si>
  <si>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</si>
  <si>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</si>
  <si>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</si>
  <si>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</si>
  <si>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</si>
  <si>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</si>
  <si>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</si>
  <si>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</si>
  <si>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</si>
  <si>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</si>
  <si>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</si>
  <si>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</si>
  <si>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</si>
  <si>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</si>
  <si>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</si>
  <si>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</si>
  <si>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</si>
  <si>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</si>
  <si>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</si>
  <si>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</si>
  <si>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</si>
  <si>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</si>
  <si>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</si>
  <si>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</si>
  <si>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</si>
  <si>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</si>
  <si>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</si>
  <si>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</si>
  <si>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</si>
  <si>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</si>
  <si>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</si>
  <si>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</si>
  <si>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</si>
  <si>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</si>
  <si>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</si>
  <si>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</si>
  <si>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</si>
  <si>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</si>
  <si>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</si>
  <si>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</si>
  <si>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</si>
  <si>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</si>
  <si>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</si>
  <si>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</si>
  <si>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</si>
  <si>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</si>
  <si>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</si>
  <si>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</si>
  <si>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</si>
  <si>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</si>
  <si>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</si>
  <si>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</si>
  <si>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</si>
  <si>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</si>
  <si>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</si>
  <si>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</si>
  <si>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</si>
  <si>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</si>
  <si>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</si>
  <si>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</si>
  <si>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</si>
  <si>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</si>
  <si>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</si>
  <si>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</si>
  <si>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</si>
  <si>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</si>
  <si>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</si>
  <si>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</si>
  <si>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</si>
  <si>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</si>
  <si>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</si>
  <si>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</si>
  <si>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</si>
  <si>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</si>
  <si>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</si>
  <si>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</si>
  <si>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</si>
  <si>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</si>
  <si>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</si>
  <si>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</si>
  <si>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</si>
  <si>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</si>
  <si>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Unknown</t>
  </si>
  <si>
    <t>Ratings</t>
  </si>
  <si>
    <t>Positive Reviews</t>
  </si>
  <si>
    <t>Discount Amount (KSh)</t>
  </si>
  <si>
    <t>Rating Category</t>
  </si>
  <si>
    <t>Discount Category</t>
  </si>
  <si>
    <t>Total</t>
  </si>
  <si>
    <t>Average</t>
  </si>
  <si>
    <t>Most Expensive Product = 32PCS Portable Cordless Drill Set With Cyclic Battery Drive -26 Variable Speed</t>
  </si>
  <si>
    <t>Least Expensive Product = 3PCS Single Head Knitting Crochet Sweater Needle Set</t>
  </si>
  <si>
    <t>Row Labels</t>
  </si>
  <si>
    <t>High Discount</t>
  </si>
  <si>
    <t>Low Discount</t>
  </si>
  <si>
    <t>Medium Discount</t>
  </si>
  <si>
    <t>Grand Total</t>
  </si>
  <si>
    <t>Average of Ratings</t>
  </si>
  <si>
    <t>Average of Discount</t>
  </si>
  <si>
    <t>Excellent</t>
  </si>
  <si>
    <t>Poor</t>
  </si>
  <si>
    <t>Count of Product</t>
  </si>
  <si>
    <t>Average of Current price</t>
  </si>
  <si>
    <t>Average of old price</t>
  </si>
  <si>
    <t>Count of Positive Reviews</t>
  </si>
  <si>
    <t>Max of Discount</t>
  </si>
  <si>
    <t>Sum of Positive Reviews</t>
  </si>
  <si>
    <t>The top 10 products with the most reviews</t>
  </si>
  <si>
    <t>The top 10 products with the highest discounts</t>
  </si>
  <si>
    <t>Whether higher-rated products tend to have more reviews</t>
  </si>
  <si>
    <t>Whether higher discounts lead to increased customer engagement</t>
  </si>
  <si>
    <t>The relationship between rating and number of reviews</t>
  </si>
  <si>
    <t>The relationship between discount percentage and number of reviews</t>
  </si>
  <si>
    <t>What is the average current price, old price, discount percentage, and rating?</t>
  </si>
  <si>
    <t>What is the average rating and discount by discount category?</t>
  </si>
  <si>
    <t>How are products distributed across rating categories?</t>
  </si>
  <si>
    <t>Max of Ratings</t>
  </si>
  <si>
    <t>The top 5 highest-rated Products</t>
  </si>
  <si>
    <t>Bottom 5 lowest-rated products</t>
  </si>
  <si>
    <t xml:space="preserve">A comparison between high-discount and low-discount products based on average rating </t>
  </si>
  <si>
    <t>and number of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</si>
</sst>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0" fontId="16" fillId="0" borderId="0" xfId="0" applyFont="1"/>
    <xf numFmtId="1" fontId="16" fillId="0" borderId="0" xfId="0" applyNumberFormat="1" applyFont="1"/>
    <xf numFmtId="1" fontId="0" fillId="0" borderId="0" xfId="0" applyNumberFormat="1"/>
    <xf numFmtId="9" fontId="16" fillId="0" borderId="0" xfId="0" applyNumberFormat="1" applyFont="1"/>
    <xf numFmtId="0" fontId="0" fillId="0" borderId="0" xfId="0" pivotButton="1"/>
    <xf numFmtId="0" fontId="0" fillId="0" borderId="0" xfId="0" applyAlignment="1">
      <alignment horizontal="left"/>
    </xf>
    <xf numFmtId="9"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numFmt numFmtId="1" formatCode="0"/>
    </dxf>
    <dxf>
      <numFmt numFmtId="13" formatCode="0%"/>
    </dxf>
    <dxf>
      <numFmt numFmtId="13"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[muli's_excell_jumia.xlsx]Product Discount Categories!PivotTable2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rPr>
              <a:t>Products</a:t>
            </a:r>
            <a:r>
              <a:rPr lang="en-US" sz="1800" b="1" baseline="0">
                <a:solidFill>
                  <a:schemeClr val="accent2"/>
                </a:solidFill>
                <a:latin typeface="Calibri" panose="020F0502020204030204" pitchFamily="34" charset="0"/>
                <a:ea typeface="Calibri" panose="020F0502020204030204" pitchFamily="34" charset="0"/>
                <a:cs typeface="Calibri" panose="020F0502020204030204" pitchFamily="34" charset="0"/>
              </a:rPr>
              <a:t> By Discount Category</a:t>
            </a:r>
            <a:endPar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Discount Categories'!$B$3</c:f>
              <c:strCache>
                <c:ptCount val="1"/>
                <c:pt idx="0">
                  <c:v>Total</c:v>
                </c:pt>
              </c:strCache>
            </c:strRef>
          </c:tx>
          <c:spPr>
            <a:solidFill>
              <a:schemeClr val="accent4"/>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Discount Categories'!$A$4:$A$7</c:f>
              <c:strCache>
                <c:ptCount val="3"/>
                <c:pt idx="0">
                  <c:v>High Discount</c:v>
                </c:pt>
                <c:pt idx="1">
                  <c:v>Low Discount</c:v>
                </c:pt>
                <c:pt idx="2">
                  <c:v>Medium Discount</c:v>
                </c:pt>
              </c:strCache>
            </c:strRef>
          </c:cat>
          <c:val>
            <c:numRef>
              <c:f>'Product Discount Categories'!$B$4:$B$7</c:f>
              <c:numCache>
                <c:formatCode>General</c:formatCode>
                <c:ptCount val="3"/>
                <c:pt idx="0">
                  <c:v>59</c:v>
                </c:pt>
                <c:pt idx="1">
                  <c:v>18</c:v>
                </c:pt>
                <c:pt idx="2">
                  <c:v>32</c:v>
                </c:pt>
              </c:numCache>
            </c:numRef>
          </c:val>
          <c:extLst>
            <c:ext xmlns:c16="http://schemas.microsoft.com/office/drawing/2014/chart" uri="{C3380CC4-5D6E-409C-BE32-E72D297353CC}">
              <c16:uniqueId val="{00000000-9D13-49AD-ADF1-E54F3426CC42}"/>
            </c:ext>
          </c:extLst>
        </c:ser>
        <c:dLbls>
          <c:showLegendKey val="0"/>
          <c:showVal val="0"/>
          <c:showCatName val="0"/>
          <c:showSerName val="0"/>
          <c:showPercent val="0"/>
          <c:showBubbleSize val="0"/>
        </c:dLbls>
        <c:gapWidth val="150"/>
        <c:axId val="458471168"/>
        <c:axId val="458481248"/>
      </c:barChart>
      <c:catAx>
        <c:axId val="45847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481248"/>
        <c:crosses val="autoZero"/>
        <c:auto val="1"/>
        <c:lblAlgn val="ctr"/>
        <c:lblOffset val="100"/>
        <c:noMultiLvlLbl val="0"/>
      </c:catAx>
      <c:valAx>
        <c:axId val="458481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47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[muli's_excell_jumia.xlsx]Product Distribution Rating Ca!PivotTable2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rPr>
              <a:t>Products vs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Distribution Rating Ca'!$B$3</c:f>
              <c:strCache>
                <c:ptCount val="1"/>
                <c:pt idx="0">
                  <c:v>Total</c:v>
                </c:pt>
              </c:strCache>
            </c:strRef>
          </c:tx>
          <c:spPr>
            <a:solidFill>
              <a:schemeClr val="accent4"/>
            </a:solidFill>
            <a:ln>
              <a:noFill/>
            </a:ln>
            <a:effectLst/>
          </c:spPr>
          <c:invertIfNegative val="0"/>
          <c:cat>
            <c:strRef>
              <c:f>'Product Distribution Rating Ca'!$A$4:$A$8</c:f>
              <c:strCache>
                <c:ptCount val="4"/>
                <c:pt idx="0">
                  <c:v>Average</c:v>
                </c:pt>
                <c:pt idx="1">
                  <c:v>Excellent</c:v>
                </c:pt>
                <c:pt idx="2">
                  <c:v>Poor</c:v>
                </c:pt>
                <c:pt idx="3">
                  <c:v>Unknown</c:v>
                </c:pt>
              </c:strCache>
            </c:strRef>
          </c:cat>
          <c:val>
            <c:numRef>
              <c:f>'Product Distribution Rating Ca'!$B$4:$B$8</c:f>
              <c:numCache>
                <c:formatCode>General</c:formatCode>
                <c:ptCount val="4"/>
                <c:pt idx="0">
                  <c:v>22</c:v>
                </c:pt>
                <c:pt idx="1">
                  <c:v>23</c:v>
                </c:pt>
                <c:pt idx="2">
                  <c:v>12</c:v>
                </c:pt>
                <c:pt idx="3">
                  <c:v>52</c:v>
                </c:pt>
              </c:numCache>
            </c:numRef>
          </c:val>
          <c:extLst>
            <c:ext xmlns:c16="http://schemas.microsoft.com/office/drawing/2014/chart" uri="{C3380CC4-5D6E-409C-BE32-E72D297353CC}">
              <c16:uniqueId val="{00000000-85BF-4865-8DB9-6D95E7B25E0F}"/>
            </c:ext>
          </c:extLst>
        </c:ser>
        <c:dLbls>
          <c:showLegendKey val="0"/>
          <c:showVal val="0"/>
          <c:showCatName val="0"/>
          <c:showSerName val="0"/>
          <c:showPercent val="0"/>
          <c:showBubbleSize val="0"/>
        </c:dLbls>
        <c:gapWidth val="219"/>
        <c:overlap val="-27"/>
        <c:axId val="916127840"/>
        <c:axId val="916118240"/>
      </c:barChart>
      <c:catAx>
        <c:axId val="91612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118240"/>
        <c:crosses val="autoZero"/>
        <c:auto val="1"/>
        <c:lblAlgn val="ctr"/>
        <c:lblOffset val="100"/>
        <c:noMultiLvlLbl val="0"/>
      </c:catAx>
      <c:valAx>
        <c:axId val="916118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12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[muli's_excell_jumia.xlsx]Rating vs Reviews!PivotTable6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rPr>
              <a:t>Ratings Vs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'Rating vs Reviews'!$B$3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vs 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Unknown</c:v>
                </c:pt>
              </c:strCache>
            </c:strRef>
          </c:cat>
          <c:val>
            <c:numRef>
              <c:f>'Rating vs Reviews'!$B$4:$B$27</c:f>
              <c:numCache>
                <c:formatCode>General</c:formatCode>
                <c:ptCount val="23"/>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pt idx="22">
                  <c:v>52</c:v>
                </c:pt>
              </c:numCache>
            </c:numRef>
          </c:val>
          <c:extLst>
            <c:ext xmlns:c16="http://schemas.microsoft.com/office/drawing/2014/chart" uri="{C3380CC4-5D6E-409C-BE32-E72D297353CC}">
              <c16:uniqueId val="{00000000-8DBF-4DB3-BD3B-3A4E9FF833F7}"/>
            </c:ext>
          </c:extLst>
        </c:ser>
        <c:dLbls>
          <c:dLblPos val="outEnd"/>
          <c:showLegendKey val="0"/>
          <c:showVal val="1"/>
          <c:showCatName val="0"/>
          <c:showSerName val="0"/>
          <c:showPercent val="0"/>
          <c:showBubbleSize val="0"/>
        </c:dLbls>
        <c:gapWidth val="182"/>
        <c:axId val="837342896"/>
        <c:axId val="837343376"/>
      </c:barChart>
      <c:catAx>
        <c:axId val="8373428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43376"/>
        <c:crosses val="autoZero"/>
        <c:auto val="1"/>
        <c:lblAlgn val="ctr"/>
        <c:lblOffset val="100"/>
        <c:noMultiLvlLbl val="0"/>
      </c:catAx>
      <c:valAx>
        <c:axId val="837343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Reviews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4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[muli's_excell_jumia.xlsx]Discount % C.Engagement!PivotTable7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latin typeface="Calibri" panose="020F0502020204030204" pitchFamily="34" charset="0"/>
                <a:ea typeface="Calibri" panose="020F0502020204030204" pitchFamily="34" charset="0"/>
                <a:cs typeface="Calibri" panose="020F0502020204030204" pitchFamily="34" charset="0"/>
              </a:rPr>
              <a:t>Discount</a:t>
            </a:r>
            <a:r>
              <a:rPr lang="en-US" b="1" baseline="0">
                <a:solidFill>
                  <a:schemeClr val="accent2"/>
                </a:solidFill>
                <a:latin typeface="Calibri" panose="020F0502020204030204" pitchFamily="34" charset="0"/>
                <a:ea typeface="Calibri" panose="020F0502020204030204" pitchFamily="34" charset="0"/>
                <a:cs typeface="Calibri" panose="020F0502020204030204" pitchFamily="34" charset="0"/>
              </a:rPr>
              <a:t> Percentage Vs Reviews</a:t>
            </a:r>
            <a:endParaRPr lang="en-US" b="1">
              <a:solidFill>
                <a:schemeClr val="accent2"/>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'Discount % C.Engagement'!$B$3</c:f>
              <c:strCache>
                <c:ptCount val="1"/>
                <c:pt idx="0">
                  <c:v>Total</c:v>
                </c:pt>
              </c:strCache>
            </c:strRef>
          </c:tx>
          <c:spPr>
            <a:solidFill>
              <a:schemeClr val="accent4"/>
            </a:solidFill>
            <a:ln>
              <a:noFill/>
            </a:ln>
            <a:effectLst/>
          </c:spPr>
          <c:invertIfNegative val="0"/>
          <c:cat>
            <c:strRef>
              <c:f>'Discount % C.Engagement'!$A$4:$A$50</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'Discount % C.Engagement'!$B$4:$B$50</c:f>
              <c:numCache>
                <c:formatCode>General</c:formatCode>
                <c:ptCount val="46"/>
                <c:pt idx="0">
                  <c:v>1</c:v>
                </c:pt>
                <c:pt idx="1">
                  <c:v>6</c:v>
                </c:pt>
                <c:pt idx="2">
                  <c:v>1</c:v>
                </c:pt>
                <c:pt idx="3">
                  <c:v>2</c:v>
                </c:pt>
                <c:pt idx="4">
                  <c:v>1</c:v>
                </c:pt>
                <c:pt idx="5">
                  <c:v>1</c:v>
                </c:pt>
                <c:pt idx="6">
                  <c:v>1</c:v>
                </c:pt>
                <c:pt idx="7">
                  <c:v>1</c:v>
                </c:pt>
                <c:pt idx="8">
                  <c:v>2</c:v>
                </c:pt>
                <c:pt idx="9">
                  <c:v>1</c:v>
                </c:pt>
                <c:pt idx="10">
                  <c:v>1</c:v>
                </c:pt>
                <c:pt idx="11">
                  <c:v>1</c:v>
                </c:pt>
                <c:pt idx="12">
                  <c:v>1</c:v>
                </c:pt>
                <c:pt idx="13">
                  <c:v>2</c:v>
                </c:pt>
                <c:pt idx="14">
                  <c:v>1</c:v>
                </c:pt>
                <c:pt idx="15">
                  <c:v>2</c:v>
                </c:pt>
                <c:pt idx="16">
                  <c:v>1</c:v>
                </c:pt>
                <c:pt idx="17">
                  <c:v>1</c:v>
                </c:pt>
                <c:pt idx="18">
                  <c:v>3</c:v>
                </c:pt>
                <c:pt idx="19">
                  <c:v>1</c:v>
                </c:pt>
                <c:pt idx="20">
                  <c:v>1</c:v>
                </c:pt>
                <c:pt idx="21">
                  <c:v>1</c:v>
                </c:pt>
                <c:pt idx="22">
                  <c:v>2</c:v>
                </c:pt>
                <c:pt idx="23">
                  <c:v>4</c:v>
                </c:pt>
                <c:pt idx="24">
                  <c:v>2</c:v>
                </c:pt>
                <c:pt idx="25">
                  <c:v>1</c:v>
                </c:pt>
                <c:pt idx="26">
                  <c:v>2</c:v>
                </c:pt>
                <c:pt idx="27">
                  <c:v>4</c:v>
                </c:pt>
                <c:pt idx="28">
                  <c:v>1</c:v>
                </c:pt>
                <c:pt idx="29">
                  <c:v>1</c:v>
                </c:pt>
                <c:pt idx="30">
                  <c:v>3</c:v>
                </c:pt>
                <c:pt idx="31">
                  <c:v>4</c:v>
                </c:pt>
                <c:pt idx="32">
                  <c:v>4</c:v>
                </c:pt>
                <c:pt idx="33">
                  <c:v>4</c:v>
                </c:pt>
                <c:pt idx="34">
                  <c:v>3</c:v>
                </c:pt>
                <c:pt idx="35">
                  <c:v>7</c:v>
                </c:pt>
                <c:pt idx="36">
                  <c:v>4</c:v>
                </c:pt>
                <c:pt idx="37">
                  <c:v>12</c:v>
                </c:pt>
                <c:pt idx="38">
                  <c:v>7</c:v>
                </c:pt>
                <c:pt idx="39">
                  <c:v>1</c:v>
                </c:pt>
                <c:pt idx="40">
                  <c:v>2</c:v>
                </c:pt>
                <c:pt idx="41">
                  <c:v>2</c:v>
                </c:pt>
                <c:pt idx="42">
                  <c:v>2</c:v>
                </c:pt>
                <c:pt idx="43">
                  <c:v>2</c:v>
                </c:pt>
                <c:pt idx="44">
                  <c:v>1</c:v>
                </c:pt>
                <c:pt idx="45">
                  <c:v>1</c:v>
                </c:pt>
              </c:numCache>
            </c:numRef>
          </c:val>
          <c:extLst>
            <c:ext xmlns:c16="http://schemas.microsoft.com/office/drawing/2014/chart" uri="{C3380CC4-5D6E-409C-BE32-E72D297353CC}">
              <c16:uniqueId val="{00000000-951A-4939-AEC7-019FCA5A9524}"/>
            </c:ext>
          </c:extLst>
        </c:ser>
        <c:dLbls>
          <c:showLegendKey val="0"/>
          <c:showVal val="0"/>
          <c:showCatName val="0"/>
          <c:showSerName val="0"/>
          <c:showPercent val="0"/>
          <c:showBubbleSize val="0"/>
        </c:dLbls>
        <c:gapWidth val="182"/>
        <c:axId val="631731152"/>
        <c:axId val="631730192"/>
      </c:barChart>
      <c:catAx>
        <c:axId val="6317311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Percentage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730192"/>
        <c:crosses val="autoZero"/>
        <c:auto val="1"/>
        <c:lblAlgn val="ctr"/>
        <c:lblOffset val="100"/>
        <c:noMultiLvlLbl val="0"/>
      </c:catAx>
      <c:valAx>
        <c:axId val="631730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Reviews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73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[muli's_excell_jumia.xlsx]Top 10 Discounts!PivotTable9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rPr>
              <a:t>Top Products</a:t>
            </a:r>
            <a:r>
              <a:rPr lang="en-US" sz="1800" b="1" baseline="0">
                <a:solidFill>
                  <a:schemeClr val="accent2"/>
                </a:solidFill>
                <a:latin typeface="Calibri" panose="020F0502020204030204" pitchFamily="34" charset="0"/>
                <a:ea typeface="Calibri" panose="020F0502020204030204" pitchFamily="34" charset="0"/>
                <a:cs typeface="Calibri" panose="020F0502020204030204" pitchFamily="34" charset="0"/>
              </a:rPr>
              <a:t> By Discount Percentage</a:t>
            </a:r>
            <a:endPar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Discounts'!$B$3</c:f>
              <c:strCache>
                <c:ptCount val="1"/>
                <c:pt idx="0">
                  <c:v>Total</c:v>
                </c:pt>
              </c:strCache>
            </c:strRef>
          </c:tx>
          <c:spPr>
            <a:solidFill>
              <a:schemeClr val="accent4"/>
            </a:solidFill>
            <a:ln>
              <a:noFill/>
            </a:ln>
            <a:effectLst/>
          </c:spPr>
          <c:invertIfNegative val="0"/>
          <c:cat>
            <c:strRef>
              <c:f>'Top 10 Discounts'!$A$4:$A$14</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'Top 10 Discounts'!$B$4:$B$14</c:f>
              <c:numCache>
                <c:formatCode>0%</c:formatCode>
                <c:ptCount val="10"/>
                <c:pt idx="0">
                  <c:v>0.53</c:v>
                </c:pt>
                <c:pt idx="1">
                  <c:v>0.55000000000000004</c:v>
                </c:pt>
                <c:pt idx="2">
                  <c:v>0.64</c:v>
                </c:pt>
                <c:pt idx="3">
                  <c:v>0.53</c:v>
                </c:pt>
                <c:pt idx="4">
                  <c:v>0.61</c:v>
                </c:pt>
                <c:pt idx="5">
                  <c:v>0.52</c:v>
                </c:pt>
                <c:pt idx="6">
                  <c:v>0.52</c:v>
                </c:pt>
                <c:pt idx="7">
                  <c:v>0.54</c:v>
                </c:pt>
                <c:pt idx="8">
                  <c:v>0.55000000000000004</c:v>
                </c:pt>
                <c:pt idx="9">
                  <c:v>0.54</c:v>
                </c:pt>
              </c:numCache>
            </c:numRef>
          </c:val>
          <c:extLst>
            <c:ext xmlns:c16="http://schemas.microsoft.com/office/drawing/2014/chart" uri="{C3380CC4-5D6E-409C-BE32-E72D297353CC}">
              <c16:uniqueId val="{00000000-BE92-4058-A68F-F388F96AB079}"/>
            </c:ext>
          </c:extLst>
        </c:ser>
        <c:dLbls>
          <c:showLegendKey val="0"/>
          <c:showVal val="0"/>
          <c:showCatName val="0"/>
          <c:showSerName val="0"/>
          <c:showPercent val="0"/>
          <c:showBubbleSize val="0"/>
        </c:dLbls>
        <c:gapWidth val="182"/>
        <c:axId val="642395792"/>
        <c:axId val="642396272"/>
      </c:barChart>
      <c:catAx>
        <c:axId val="642395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396272"/>
        <c:crosses val="autoZero"/>
        <c:auto val="1"/>
        <c:lblAlgn val="ctr"/>
        <c:lblOffset val="100"/>
        <c:noMultiLvlLbl val="0"/>
      </c:catAx>
      <c:valAx>
        <c:axId val="6423962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Percentage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39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[muli's_excell_jumia.xlsx]Top 10 Reviews!PivotTable10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latin typeface="Calibri" panose="020F0502020204030204" pitchFamily="34" charset="0"/>
                <a:ea typeface="Calibri" panose="020F0502020204030204" pitchFamily="34" charset="0"/>
                <a:cs typeface="Calibri" panose="020F0502020204030204" pitchFamily="34" charset="0"/>
              </a:rPr>
              <a:t>Top Products by Number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Reviews'!$B$3</c:f>
              <c:strCache>
                <c:ptCount val="1"/>
                <c:pt idx="0">
                  <c:v>Total</c:v>
                </c:pt>
              </c:strCache>
            </c:strRef>
          </c:tx>
          <c:spPr>
            <a:solidFill>
              <a:schemeClr val="accent4"/>
            </a:solidFill>
            <a:ln>
              <a:noFill/>
            </a:ln>
            <a:effectLst/>
          </c:spPr>
          <c:invertIfNegative val="0"/>
          <c:cat>
            <c:strRef>
              <c:f>'Top 10 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10 Reviews'!$B$4:$B$14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464E-46C8-994D-842525647011}"/>
            </c:ext>
          </c:extLst>
        </c:ser>
        <c:dLbls>
          <c:showLegendKey val="0"/>
          <c:showVal val="0"/>
          <c:showCatName val="0"/>
          <c:showSerName val="0"/>
          <c:showPercent val="0"/>
          <c:showBubbleSize val="0"/>
        </c:dLbls>
        <c:gapWidth val="182"/>
        <c:axId val="2137014432"/>
        <c:axId val="749507504"/>
      </c:barChart>
      <c:catAx>
        <c:axId val="21370144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07504"/>
        <c:crosses val="autoZero"/>
        <c:auto val="1"/>
        <c:lblAlgn val="ctr"/>
        <c:lblOffset val="100"/>
        <c:noMultiLvlLbl val="0"/>
      </c:catAx>
      <c:valAx>
        <c:axId val="74950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Positive Reviews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01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[muli's_excell_jumia.xlsx]Top 5 Highest rated products!PivotTable11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Highest rated products'!$B$3</c:f>
              <c:strCache>
                <c:ptCount val="1"/>
                <c:pt idx="0">
                  <c:v>Total</c:v>
                </c:pt>
              </c:strCache>
            </c:strRef>
          </c:tx>
          <c:spPr>
            <a:solidFill>
              <a:schemeClr val="accent4"/>
            </a:solidFill>
            <a:ln>
              <a:noFill/>
            </a:ln>
            <a:effectLst/>
          </c:spPr>
          <c:invertIfNegative val="0"/>
          <c:cat>
            <c:strRef>
              <c:f>'Top 5 Highest rated products'!$A$4:$A$11</c:f>
              <c:strCache>
                <c:ptCount val="7"/>
                <c:pt idx="0">
                  <c:v>Anti-Skid Absorbent Insulation Coaster  For Home Office</c:v>
                </c:pt>
                <c:pt idx="1">
                  <c:v>LASA Aluminum Folding Truck Hand Cart - 68kg Max</c:v>
                </c:pt>
                <c:pt idx="2">
                  <c:v>Konka Healty Electric Kettle, 24-hour Heat Preservation,1.5L,800W, White</c:v>
                </c:pt>
                <c:pt idx="3">
                  <c:v>Bedroom Simple Floor Hanging Clothes Rack Single Pole Hat Rack - White</c:v>
                </c:pt>
                <c:pt idx="4">
                  <c:v>Peacock  Throw Pillow Cushion Case For Home Car</c:v>
                </c:pt>
                <c:pt idx="5">
                  <c:v>Classic Black Cat Cotton Hemp Pillow Case For Home Car</c:v>
                </c:pt>
                <c:pt idx="6">
                  <c:v>DIY File Folder, Office Drawer File Holder, Pen Holder, Desktop Storage Rack</c:v>
                </c:pt>
              </c:strCache>
            </c:strRef>
          </c:cat>
          <c:val>
            <c:numRef>
              <c:f>'Top 5 Highest rated products'!$B$4:$B$11</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E161-4DD7-8C29-DE922775F317}"/>
            </c:ext>
          </c:extLst>
        </c:ser>
        <c:dLbls>
          <c:showLegendKey val="0"/>
          <c:showVal val="0"/>
          <c:showCatName val="0"/>
          <c:showSerName val="0"/>
          <c:showPercent val="0"/>
          <c:showBubbleSize val="0"/>
        </c:dLbls>
        <c:gapWidth val="182"/>
        <c:axId val="640136272"/>
        <c:axId val="640136752"/>
      </c:barChart>
      <c:catAx>
        <c:axId val="640136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36752"/>
        <c:crosses val="autoZero"/>
        <c:auto val="1"/>
        <c:lblAlgn val="ctr"/>
        <c:lblOffset val="100"/>
        <c:noMultiLvlLbl val="0"/>
      </c:catAx>
      <c:valAx>
        <c:axId val="640136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3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[muli's_excell_jumia.xlsx]Top 5 Highest rated products!PivotTable11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2"/>
                </a:solidFill>
                <a:latin typeface="Calibri" panose="020F0502020204030204" pitchFamily="34" charset="0"/>
                <a:ea typeface="Calibri" panose="020F0502020204030204" pitchFamily="34" charset="0"/>
                <a:cs typeface="Calibri" panose="020F0502020204030204" pitchFamily="34" charset="0"/>
              </a:rPr>
              <a:t>Top</a:t>
            </a:r>
            <a:r>
              <a:rPr lang="en-US" sz="2000" b="1" baseline="0">
                <a:solidFill>
                  <a:schemeClr val="accent2"/>
                </a:solidFill>
                <a:latin typeface="Calibri" panose="020F0502020204030204" pitchFamily="34" charset="0"/>
                <a:ea typeface="Calibri" panose="020F0502020204030204" pitchFamily="34" charset="0"/>
                <a:cs typeface="Calibri" panose="020F0502020204030204" pitchFamily="34" charset="0"/>
              </a:rPr>
              <a:t> Products by Ratings</a:t>
            </a:r>
            <a:endParaRPr lang="en-US" sz="2000" b="1">
              <a:solidFill>
                <a:schemeClr val="accent2"/>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Highest rated products'!$B$3</c:f>
              <c:strCache>
                <c:ptCount val="1"/>
                <c:pt idx="0">
                  <c:v>Total</c:v>
                </c:pt>
              </c:strCache>
            </c:strRef>
          </c:tx>
          <c:spPr>
            <a:solidFill>
              <a:schemeClr val="accent4"/>
            </a:solidFill>
            <a:ln>
              <a:noFill/>
            </a:ln>
            <a:effectLst/>
          </c:spPr>
          <c:invertIfNegative val="0"/>
          <c:cat>
            <c:strRef>
              <c:f>'Top 5 Highest rated products'!$A$4:$A$11</c:f>
              <c:strCache>
                <c:ptCount val="7"/>
                <c:pt idx="0">
                  <c:v>Anti-Skid Absorbent Insulation Coaster  For Home Office</c:v>
                </c:pt>
                <c:pt idx="1">
                  <c:v>LASA Aluminum Folding Truck Hand Cart - 68kg Max</c:v>
                </c:pt>
                <c:pt idx="2">
                  <c:v>Konka Healty Electric Kettle, 24-hour Heat Preservation,1.5L,800W, White</c:v>
                </c:pt>
                <c:pt idx="3">
                  <c:v>Bedroom Simple Floor Hanging Clothes Rack Single Pole Hat Rack - White</c:v>
                </c:pt>
                <c:pt idx="4">
                  <c:v>Peacock  Throw Pillow Cushion Case For Home Car</c:v>
                </c:pt>
                <c:pt idx="5">
                  <c:v>Classic Black Cat Cotton Hemp Pillow Case For Home Car</c:v>
                </c:pt>
                <c:pt idx="6">
                  <c:v>DIY File Folder, Office Drawer File Holder, Pen Holder, Desktop Storage Rack</c:v>
                </c:pt>
              </c:strCache>
            </c:strRef>
          </c:cat>
          <c:val>
            <c:numRef>
              <c:f>'Top 5 Highest rated products'!$B$4:$B$11</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218B-4FFC-9932-C99518A1AB34}"/>
            </c:ext>
          </c:extLst>
        </c:ser>
        <c:dLbls>
          <c:showLegendKey val="0"/>
          <c:showVal val="0"/>
          <c:showCatName val="0"/>
          <c:showSerName val="0"/>
          <c:showPercent val="0"/>
          <c:showBubbleSize val="0"/>
        </c:dLbls>
        <c:gapWidth val="182"/>
        <c:axId val="640136272"/>
        <c:axId val="640136752"/>
      </c:barChart>
      <c:catAx>
        <c:axId val="640136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36752"/>
        <c:crosses val="autoZero"/>
        <c:auto val="1"/>
        <c:lblAlgn val="ctr"/>
        <c:lblOffset val="100"/>
        <c:noMultiLvlLbl val="0"/>
      </c:catAx>
      <c:valAx>
        <c:axId val="640136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3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[muli's_excell_jumia.xlsx]Top 10 Reviews!PivotTable10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latin typeface="Calibri" panose="020F0502020204030204" pitchFamily="34" charset="0"/>
                <a:ea typeface="Calibri" panose="020F0502020204030204" pitchFamily="34" charset="0"/>
                <a:cs typeface="Calibri" panose="020F0502020204030204" pitchFamily="34" charset="0"/>
              </a:rPr>
              <a:t>Top Products by Number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Reviews'!$B$3</c:f>
              <c:strCache>
                <c:ptCount val="1"/>
                <c:pt idx="0">
                  <c:v>Total</c:v>
                </c:pt>
              </c:strCache>
            </c:strRef>
          </c:tx>
          <c:spPr>
            <a:solidFill>
              <a:schemeClr val="accent4"/>
            </a:solidFill>
            <a:ln>
              <a:noFill/>
            </a:ln>
            <a:effectLst/>
          </c:spPr>
          <c:invertIfNegative val="0"/>
          <c:cat>
            <c:strRef>
              <c:f>'Top 10 Reviews'!$A$4:$A$14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'Top 10 Reviews'!$B$4:$B$14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8D45-4713-95B7-7E87FBB435F6}"/>
            </c:ext>
          </c:extLst>
        </c:ser>
        <c:dLbls>
          <c:showLegendKey val="0"/>
          <c:showVal val="0"/>
          <c:showCatName val="0"/>
          <c:showSerName val="0"/>
          <c:showPercent val="0"/>
          <c:showBubbleSize val="0"/>
        </c:dLbls>
        <c:gapWidth val="182"/>
        <c:axId val="2137014432"/>
        <c:axId val="749507504"/>
      </c:barChart>
      <c:catAx>
        <c:axId val="21370144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07504"/>
        <c:crosses val="autoZero"/>
        <c:auto val="1"/>
        <c:lblAlgn val="ctr"/>
        <c:lblOffset val="100"/>
        <c:noMultiLvlLbl val="0"/>
      </c:catAx>
      <c:valAx>
        <c:axId val="749507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Positive Reviews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01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[muli's_excell_jumia.xlsx]Discount % C.Engagement!PivotTable7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rPr>
              <a:t>Discount</a:t>
            </a:r>
            <a:r>
              <a:rPr lang="en-US" sz="1800" b="1" baseline="0">
                <a:solidFill>
                  <a:schemeClr val="accent2"/>
                </a:solidFill>
                <a:latin typeface="Calibri" panose="020F0502020204030204" pitchFamily="34" charset="0"/>
                <a:ea typeface="Calibri" panose="020F0502020204030204" pitchFamily="34" charset="0"/>
                <a:cs typeface="Calibri" panose="020F0502020204030204" pitchFamily="34" charset="0"/>
              </a:rPr>
              <a:t> Percentage Vs Reviews</a:t>
            </a:r>
            <a:endPar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'Discount % C.Engagement'!$B$3</c:f>
              <c:strCache>
                <c:ptCount val="1"/>
                <c:pt idx="0">
                  <c:v>Total</c:v>
                </c:pt>
              </c:strCache>
            </c:strRef>
          </c:tx>
          <c:spPr>
            <a:solidFill>
              <a:schemeClr val="accent4"/>
            </a:solidFill>
            <a:ln>
              <a:noFill/>
            </a:ln>
            <a:effectLst/>
          </c:spPr>
          <c:invertIfNegative val="0"/>
          <c:cat>
            <c:strRef>
              <c:f>'Discount % C.Engagement'!$A$4:$A$50</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'Discount % C.Engagement'!$B$4:$B$50</c:f>
              <c:numCache>
                <c:formatCode>General</c:formatCode>
                <c:ptCount val="46"/>
                <c:pt idx="0">
                  <c:v>1</c:v>
                </c:pt>
                <c:pt idx="1">
                  <c:v>6</c:v>
                </c:pt>
                <c:pt idx="2">
                  <c:v>1</c:v>
                </c:pt>
                <c:pt idx="3">
                  <c:v>2</c:v>
                </c:pt>
                <c:pt idx="4">
                  <c:v>1</c:v>
                </c:pt>
                <c:pt idx="5">
                  <c:v>1</c:v>
                </c:pt>
                <c:pt idx="6">
                  <c:v>1</c:v>
                </c:pt>
                <c:pt idx="7">
                  <c:v>1</c:v>
                </c:pt>
                <c:pt idx="8">
                  <c:v>2</c:v>
                </c:pt>
                <c:pt idx="9">
                  <c:v>1</c:v>
                </c:pt>
                <c:pt idx="10">
                  <c:v>1</c:v>
                </c:pt>
                <c:pt idx="11">
                  <c:v>1</c:v>
                </c:pt>
                <c:pt idx="12">
                  <c:v>1</c:v>
                </c:pt>
                <c:pt idx="13">
                  <c:v>2</c:v>
                </c:pt>
                <c:pt idx="14">
                  <c:v>1</c:v>
                </c:pt>
                <c:pt idx="15">
                  <c:v>2</c:v>
                </c:pt>
                <c:pt idx="16">
                  <c:v>1</c:v>
                </c:pt>
                <c:pt idx="17">
                  <c:v>1</c:v>
                </c:pt>
                <c:pt idx="18">
                  <c:v>3</c:v>
                </c:pt>
                <c:pt idx="19">
                  <c:v>1</c:v>
                </c:pt>
                <c:pt idx="20">
                  <c:v>1</c:v>
                </c:pt>
                <c:pt idx="21">
                  <c:v>1</c:v>
                </c:pt>
                <c:pt idx="22">
                  <c:v>2</c:v>
                </c:pt>
                <c:pt idx="23">
                  <c:v>4</c:v>
                </c:pt>
                <c:pt idx="24">
                  <c:v>2</c:v>
                </c:pt>
                <c:pt idx="25">
                  <c:v>1</c:v>
                </c:pt>
                <c:pt idx="26">
                  <c:v>2</c:v>
                </c:pt>
                <c:pt idx="27">
                  <c:v>4</c:v>
                </c:pt>
                <c:pt idx="28">
                  <c:v>1</c:v>
                </c:pt>
                <c:pt idx="29">
                  <c:v>1</c:v>
                </c:pt>
                <c:pt idx="30">
                  <c:v>3</c:v>
                </c:pt>
                <c:pt idx="31">
                  <c:v>4</c:v>
                </c:pt>
                <c:pt idx="32">
                  <c:v>4</c:v>
                </c:pt>
                <c:pt idx="33">
                  <c:v>4</c:v>
                </c:pt>
                <c:pt idx="34">
                  <c:v>3</c:v>
                </c:pt>
                <c:pt idx="35">
                  <c:v>7</c:v>
                </c:pt>
                <c:pt idx="36">
                  <c:v>4</c:v>
                </c:pt>
                <c:pt idx="37">
                  <c:v>12</c:v>
                </c:pt>
                <c:pt idx="38">
                  <c:v>7</c:v>
                </c:pt>
                <c:pt idx="39">
                  <c:v>1</c:v>
                </c:pt>
                <c:pt idx="40">
                  <c:v>2</c:v>
                </c:pt>
                <c:pt idx="41">
                  <c:v>2</c:v>
                </c:pt>
                <c:pt idx="42">
                  <c:v>2</c:v>
                </c:pt>
                <c:pt idx="43">
                  <c:v>2</c:v>
                </c:pt>
                <c:pt idx="44">
                  <c:v>1</c:v>
                </c:pt>
                <c:pt idx="45">
                  <c:v>1</c:v>
                </c:pt>
              </c:numCache>
            </c:numRef>
          </c:val>
          <c:extLst>
            <c:ext xmlns:c16="http://schemas.microsoft.com/office/drawing/2014/chart" uri="{C3380CC4-5D6E-409C-BE32-E72D297353CC}">
              <c16:uniqueId val="{00000000-426A-40C5-8631-04AD1DFEBD90}"/>
            </c:ext>
          </c:extLst>
        </c:ser>
        <c:dLbls>
          <c:showLegendKey val="0"/>
          <c:showVal val="0"/>
          <c:showCatName val="0"/>
          <c:showSerName val="0"/>
          <c:showPercent val="0"/>
          <c:showBubbleSize val="0"/>
        </c:dLbls>
        <c:gapWidth val="182"/>
        <c:axId val="631731152"/>
        <c:axId val="631730192"/>
      </c:barChart>
      <c:catAx>
        <c:axId val="6317311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Percentage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730192"/>
        <c:crosses val="autoZero"/>
        <c:auto val="1"/>
        <c:lblAlgn val="ctr"/>
        <c:lblOffset val="100"/>
        <c:noMultiLvlLbl val="0"/>
      </c:catAx>
      <c:valAx>
        <c:axId val="631730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Reviews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73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[muli's_excell_jumia.xlsx]Rating vs Reviews!PivotTable6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rPr>
              <a:t>Ratings Vs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'Rating vs Reviews'!$B$3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vs 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Unknown</c:v>
                </c:pt>
              </c:strCache>
            </c:strRef>
          </c:cat>
          <c:val>
            <c:numRef>
              <c:f>'Rating vs Reviews'!$B$4:$B$27</c:f>
              <c:numCache>
                <c:formatCode>General</c:formatCode>
                <c:ptCount val="23"/>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pt idx="22">
                  <c:v>52</c:v>
                </c:pt>
              </c:numCache>
            </c:numRef>
          </c:val>
          <c:extLst>
            <c:ext xmlns:c16="http://schemas.microsoft.com/office/drawing/2014/chart" uri="{C3380CC4-5D6E-409C-BE32-E72D297353CC}">
              <c16:uniqueId val="{00000000-19D0-4A62-8412-129A752D54C0}"/>
            </c:ext>
          </c:extLst>
        </c:ser>
        <c:dLbls>
          <c:dLblPos val="outEnd"/>
          <c:showLegendKey val="0"/>
          <c:showVal val="1"/>
          <c:showCatName val="0"/>
          <c:showSerName val="0"/>
          <c:showPercent val="0"/>
          <c:showBubbleSize val="0"/>
        </c:dLbls>
        <c:gapWidth val="182"/>
        <c:axId val="837342896"/>
        <c:axId val="837343376"/>
      </c:barChart>
      <c:catAx>
        <c:axId val="8373428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43376"/>
        <c:crosses val="autoZero"/>
        <c:auto val="1"/>
        <c:lblAlgn val="ctr"/>
        <c:lblOffset val="100"/>
        <c:noMultiLvlLbl val="0"/>
      </c:catAx>
      <c:valAx>
        <c:axId val="837343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Reviews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4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[muli's_excell_jumia.xlsx]Product Distribution Rating Ca!PivotTable2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rPr>
              <a:t>Products vs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Distribution Rating Ca'!$B$3</c:f>
              <c:strCache>
                <c:ptCount val="1"/>
                <c:pt idx="0">
                  <c:v>Total</c:v>
                </c:pt>
              </c:strCache>
            </c:strRef>
          </c:tx>
          <c:spPr>
            <a:solidFill>
              <a:schemeClr val="accent4"/>
            </a:solidFill>
            <a:ln>
              <a:noFill/>
            </a:ln>
            <a:effectLst/>
          </c:spPr>
          <c:invertIfNegative val="0"/>
          <c:cat>
            <c:strRef>
              <c:f>'Product Distribution Rating Ca'!$A$4:$A$8</c:f>
              <c:strCache>
                <c:ptCount val="4"/>
                <c:pt idx="0">
                  <c:v>Average</c:v>
                </c:pt>
                <c:pt idx="1">
                  <c:v>Excellent</c:v>
                </c:pt>
                <c:pt idx="2">
                  <c:v>Poor</c:v>
                </c:pt>
                <c:pt idx="3">
                  <c:v>Unknown</c:v>
                </c:pt>
              </c:strCache>
            </c:strRef>
          </c:cat>
          <c:val>
            <c:numRef>
              <c:f>'Product Distribution Rating Ca'!$B$4:$B$8</c:f>
              <c:numCache>
                <c:formatCode>General</c:formatCode>
                <c:ptCount val="4"/>
                <c:pt idx="0">
                  <c:v>22</c:v>
                </c:pt>
                <c:pt idx="1">
                  <c:v>23</c:v>
                </c:pt>
                <c:pt idx="2">
                  <c:v>12</c:v>
                </c:pt>
                <c:pt idx="3">
                  <c:v>52</c:v>
                </c:pt>
              </c:numCache>
            </c:numRef>
          </c:val>
          <c:extLst>
            <c:ext xmlns:c16="http://schemas.microsoft.com/office/drawing/2014/chart" uri="{C3380CC4-5D6E-409C-BE32-E72D297353CC}">
              <c16:uniqueId val="{00000000-53B4-43E6-B7B4-B12752D869DE}"/>
            </c:ext>
          </c:extLst>
        </c:ser>
        <c:dLbls>
          <c:showLegendKey val="0"/>
          <c:showVal val="0"/>
          <c:showCatName val="0"/>
          <c:showSerName val="0"/>
          <c:showPercent val="0"/>
          <c:showBubbleSize val="0"/>
        </c:dLbls>
        <c:gapWidth val="219"/>
        <c:overlap val="-27"/>
        <c:axId val="916127840"/>
        <c:axId val="916118240"/>
      </c:barChart>
      <c:catAx>
        <c:axId val="91612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118240"/>
        <c:crosses val="autoZero"/>
        <c:auto val="1"/>
        <c:lblAlgn val="ctr"/>
        <c:lblOffset val="100"/>
        <c:noMultiLvlLbl val="0"/>
      </c:catAx>
      <c:valAx>
        <c:axId val="916118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12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[muli's_excell_jumia.xlsx]Product Discount Categories!PivotTable2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rPr>
              <a:t>Products</a:t>
            </a:r>
            <a:r>
              <a:rPr lang="en-US" sz="1800" b="1" baseline="0">
                <a:solidFill>
                  <a:schemeClr val="accent2"/>
                </a:solidFill>
                <a:latin typeface="Calibri" panose="020F0502020204030204" pitchFamily="34" charset="0"/>
                <a:ea typeface="Calibri" panose="020F0502020204030204" pitchFamily="34" charset="0"/>
                <a:cs typeface="Calibri" panose="020F0502020204030204" pitchFamily="34" charset="0"/>
              </a:rPr>
              <a:t> By Discount Category</a:t>
            </a:r>
            <a:endParaRPr lang="en-US" sz="1800" b="1">
              <a:solidFill>
                <a:schemeClr val="accent2"/>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Discount Categories'!$B$3</c:f>
              <c:strCache>
                <c:ptCount val="1"/>
                <c:pt idx="0">
                  <c:v>Total</c:v>
                </c:pt>
              </c:strCache>
            </c:strRef>
          </c:tx>
          <c:spPr>
            <a:solidFill>
              <a:schemeClr val="accent4"/>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Discount Categories'!$A$4:$A$7</c:f>
              <c:strCache>
                <c:ptCount val="3"/>
                <c:pt idx="0">
                  <c:v>High Discount</c:v>
                </c:pt>
                <c:pt idx="1">
                  <c:v>Low Discount</c:v>
                </c:pt>
                <c:pt idx="2">
                  <c:v>Medium Discount</c:v>
                </c:pt>
              </c:strCache>
            </c:strRef>
          </c:cat>
          <c:val>
            <c:numRef>
              <c:f>'Product Discount Categories'!$B$4:$B$7</c:f>
              <c:numCache>
                <c:formatCode>General</c:formatCode>
                <c:ptCount val="3"/>
                <c:pt idx="0">
                  <c:v>59</c:v>
                </c:pt>
                <c:pt idx="1">
                  <c:v>18</c:v>
                </c:pt>
                <c:pt idx="2">
                  <c:v>32</c:v>
                </c:pt>
              </c:numCache>
            </c:numRef>
          </c:val>
          <c:extLst>
            <c:ext xmlns:c16="http://schemas.microsoft.com/office/drawing/2014/chart" uri="{C3380CC4-5D6E-409C-BE32-E72D297353CC}">
              <c16:uniqueId val="{00000000-CBBF-4C3D-A6CB-A5D4AF2DD91D}"/>
            </c:ext>
          </c:extLst>
        </c:ser>
        <c:dLbls>
          <c:showLegendKey val="0"/>
          <c:showVal val="0"/>
          <c:showCatName val="0"/>
          <c:showSerName val="0"/>
          <c:showPercent val="0"/>
          <c:showBubbleSize val="0"/>
        </c:dLbls>
        <c:gapWidth val="150"/>
        <c:axId val="458471168"/>
        <c:axId val="458481248"/>
      </c:barChart>
      <c:catAx>
        <c:axId val="45847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481248"/>
        <c:crosses val="autoZero"/>
        <c:auto val="1"/>
        <c:lblAlgn val="ctr"/>
        <c:lblOffset val="100"/>
        <c:noMultiLvlLbl val="0"/>
      </c:catAx>
      <c:valAx>
        <c:axId val="458481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47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365760</xdr:colOff>
      <xdr:row>8</xdr:row>
      <xdr:rowOff>68580</xdr:rowOff>
    </xdr:from>
    <xdr:to>
      <xdr:col>12</xdr:col>
      <xdr:colOff>449580</xdr:colOff>
      <xdr:row>29</xdr:row>
      <xdr:rowOff>41910</xdr:rowOff>
    </xdr:to>
    <xdr:graphicFrame macro="">
      <xdr:nvGraphicFramePr>
        <xdr:cNvPr id="2" name="Chart 1">
          <a:extLst>
            <a:ext uri="{FF2B5EF4-FFF2-40B4-BE49-F238E27FC236}">
              <a16:creationId xmlns:a16="http://schemas.microsoft.com/office/drawing/2014/main" id="{01097B2A-F7A7-B511-D246-AC8A602CE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15</xdr:row>
      <xdr:rowOff>60960</xdr:rowOff>
    </xdr:from>
    <xdr:to>
      <xdr:col>1</xdr:col>
      <xdr:colOff>876300</xdr:colOff>
      <xdr:row>29</xdr:row>
      <xdr:rowOff>81915</xdr:rowOff>
    </xdr:to>
    <mc:AlternateContent xmlns:mc="http://schemas.openxmlformats.org/markup-compatibility/2006" xmlns:a14="http://schemas.microsoft.com/office/drawing/2010/main">
      <mc:Choice Requires="a14">
        <xdr:graphicFrame macro="">
          <xdr:nvGraphicFramePr>
            <xdr:cNvPr id="4" name="Discount Category">
              <a:extLst>
                <a:ext uri="{FF2B5EF4-FFF2-40B4-BE49-F238E27FC236}">
                  <a16:creationId xmlns:a16="http://schemas.microsoft.com/office/drawing/2014/main" id="{FC4659CE-BF90-1ABA-63E7-6D9A981A851F}"/>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76200" y="2804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167640</xdr:colOff>
      <xdr:row>4</xdr:row>
      <xdr:rowOff>76200</xdr:rowOff>
    </xdr:from>
    <xdr:to>
      <xdr:col>14</xdr:col>
      <xdr:colOff>121920</xdr:colOff>
      <xdr:row>26</xdr:row>
      <xdr:rowOff>114300</xdr:rowOff>
    </xdr:to>
    <xdr:graphicFrame macro="">
      <xdr:nvGraphicFramePr>
        <xdr:cNvPr id="2" name="Chart 1">
          <a:extLst>
            <a:ext uri="{FF2B5EF4-FFF2-40B4-BE49-F238E27FC236}">
              <a16:creationId xmlns:a16="http://schemas.microsoft.com/office/drawing/2014/main" id="{1DBA9C0A-100A-42B5-5B73-21D134795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205740</xdr:colOff>
      <xdr:row>11</xdr:row>
      <xdr:rowOff>99060</xdr:rowOff>
    </xdr:from>
    <xdr:to>
      <xdr:col>3</xdr:col>
      <xdr:colOff>411480</xdr:colOff>
      <xdr:row>25</xdr:row>
      <xdr:rowOff>120015</xdr:rowOff>
    </xdr:to>
    <mc:AlternateContent xmlns:mc="http://schemas.openxmlformats.org/markup-compatibility/2006" xmlns:a14="http://schemas.microsoft.com/office/drawing/2010/main">
      <mc:Choice Requires="a14">
        <xdr:graphicFrame macro="">
          <xdr:nvGraphicFramePr>
            <xdr:cNvPr id="4" name="Rating Category">
              <a:extLst>
                <a:ext uri="{FF2B5EF4-FFF2-40B4-BE49-F238E27FC236}">
                  <a16:creationId xmlns:a16="http://schemas.microsoft.com/office/drawing/2014/main" id="{A8A640F3-5AC3-3E29-5B12-5BF5998ECE34}"/>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059180" y="21107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563880</xdr:colOff>
      <xdr:row>1</xdr:row>
      <xdr:rowOff>68580</xdr:rowOff>
    </xdr:from>
    <xdr:to>
      <xdr:col>13</xdr:col>
      <xdr:colOff>365760</xdr:colOff>
      <xdr:row>35</xdr:row>
      <xdr:rowOff>7620</xdr:rowOff>
    </xdr:to>
    <xdr:graphicFrame macro="">
      <xdr:nvGraphicFramePr>
        <xdr:cNvPr id="2" name="Chart 1">
          <a:extLst>
            <a:ext uri="{FF2B5EF4-FFF2-40B4-BE49-F238E27FC236}">
              <a16:creationId xmlns:a16="http://schemas.microsoft.com/office/drawing/2014/main" id="{6FDFF4C3-8DE8-9C95-A4A1-1A3195FB9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754380</xdr:colOff>
      <xdr:row>2</xdr:row>
      <xdr:rowOff>53340</xdr:rowOff>
    </xdr:from>
    <xdr:to>
      <xdr:col>12</xdr:col>
      <xdr:colOff>449580</xdr:colOff>
      <xdr:row>37</xdr:row>
      <xdr:rowOff>83820</xdr:rowOff>
    </xdr:to>
    <xdr:graphicFrame macro="">
      <xdr:nvGraphicFramePr>
        <xdr:cNvPr id="3" name="Chart 2">
          <a:extLst>
            <a:ext uri="{FF2B5EF4-FFF2-40B4-BE49-F238E27FC236}">
              <a16:creationId xmlns:a16="http://schemas.microsoft.com/office/drawing/2014/main" id="{D619AE9B-EC2A-D127-8461-E1783C3AE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2514600</xdr:colOff>
      <xdr:row>14</xdr:row>
      <xdr:rowOff>34290</xdr:rowOff>
    </xdr:from>
    <xdr:to>
      <xdr:col>8</xdr:col>
      <xdr:colOff>22860</xdr:colOff>
      <xdr:row>37</xdr:row>
      <xdr:rowOff>53340</xdr:rowOff>
    </xdr:to>
    <xdr:graphicFrame macro="">
      <xdr:nvGraphicFramePr>
        <xdr:cNvPr id="2" name="Chart 1">
          <a:extLst>
            <a:ext uri="{FF2B5EF4-FFF2-40B4-BE49-F238E27FC236}">
              <a16:creationId xmlns:a16="http://schemas.microsoft.com/office/drawing/2014/main" id="{863C4E2E-6159-405D-546C-5E1AE1D23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266700</xdr:colOff>
      <xdr:row>17</xdr:row>
      <xdr:rowOff>19050</xdr:rowOff>
    </xdr:from>
    <xdr:to>
      <xdr:col>9</xdr:col>
      <xdr:colOff>457200</xdr:colOff>
      <xdr:row>40</xdr:row>
      <xdr:rowOff>15240</xdr:rowOff>
    </xdr:to>
    <xdr:graphicFrame macro="">
      <xdr:nvGraphicFramePr>
        <xdr:cNvPr id="2" name="Chart 1">
          <a:extLst>
            <a:ext uri="{FF2B5EF4-FFF2-40B4-BE49-F238E27FC236}">
              <a16:creationId xmlns:a16="http://schemas.microsoft.com/office/drawing/2014/main" id="{1BA8104C-30BB-2CCA-D6DF-713C22A9B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3177540</xdr:colOff>
      <xdr:row>11</xdr:row>
      <xdr:rowOff>133350</xdr:rowOff>
    </xdr:from>
    <xdr:to>
      <xdr:col>10</xdr:col>
      <xdr:colOff>175260</xdr:colOff>
      <xdr:row>32</xdr:row>
      <xdr:rowOff>7620</xdr:rowOff>
    </xdr:to>
    <xdr:graphicFrame macro="">
      <xdr:nvGraphicFramePr>
        <xdr:cNvPr id="2" name="Chart 1">
          <a:extLst>
            <a:ext uri="{FF2B5EF4-FFF2-40B4-BE49-F238E27FC236}">
              <a16:creationId xmlns:a16="http://schemas.microsoft.com/office/drawing/2014/main" id="{3FB0CC3F-6B1F-9EA1-5131-77F33EAEB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464820</xdr:colOff>
      <xdr:row>0</xdr:row>
      <xdr:rowOff>146685</xdr:rowOff>
    </xdr:from>
    <xdr:to>
      <xdr:col>15</xdr:col>
      <xdr:colOff>480060</xdr:colOff>
      <xdr:row>4</xdr:row>
      <xdr:rowOff>47625</xdr:rowOff>
    </xdr:to>
    <xdr:sp macro="" textlink="">
      <xdr:nvSpPr>
        <xdr:cNvPr id="3" name="Rectangle: Rounded Corners 2">
          <a:extLst>
            <a:ext uri="{FF2B5EF4-FFF2-40B4-BE49-F238E27FC236}">
              <a16:creationId xmlns:a16="http://schemas.microsoft.com/office/drawing/2014/main" id="{AB28F4F0-D5B1-98C7-7259-5A2A289F2F21}"/>
            </a:ext>
          </a:extLst>
        </xdr:cNvPr>
        <xdr:cNvSpPr/>
      </xdr:nvSpPr>
      <xdr:spPr>
        <a:xfrm>
          <a:off x="2903220" y="146685"/>
          <a:ext cx="6720840" cy="62484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2400" b="1">
              <a:solidFill>
                <a:schemeClr val="accent2"/>
              </a:solidFill>
              <a:latin typeface="Calibri" panose="020F0502020204030204" pitchFamily="34" charset="0"/>
              <a:ea typeface="Calibri" panose="020F0502020204030204" pitchFamily="34" charset="0"/>
              <a:cs typeface="Calibri" panose="020F0502020204030204" pitchFamily="34" charset="0"/>
            </a:rPr>
            <a:t>JUMIA</a:t>
          </a:r>
          <a:r>
            <a:rPr lang="en-US" sz="2400" b="1" baseline="0">
              <a:solidFill>
                <a:schemeClr val="accent2"/>
              </a:solidFill>
              <a:latin typeface="Calibri" panose="020F0502020204030204" pitchFamily="34" charset="0"/>
              <a:ea typeface="Calibri" panose="020F0502020204030204" pitchFamily="34" charset="0"/>
              <a:cs typeface="Calibri" panose="020F0502020204030204" pitchFamily="34" charset="0"/>
            </a:rPr>
            <a:t> PRODUCT PERFORMANCE DASHBOARD</a:t>
          </a:r>
          <a:endParaRPr lang="en-US" sz="2400" b="1">
            <a:solidFill>
              <a:schemeClr val="accent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312420</xdr:colOff>
      <xdr:row>7</xdr:row>
      <xdr:rowOff>114300</xdr:rowOff>
    </xdr:from>
    <xdr:to>
      <xdr:col>5</xdr:col>
      <xdr:colOff>396240</xdr:colOff>
      <xdr:row>9</xdr:row>
      <xdr:rowOff>160020</xdr:rowOff>
    </xdr:to>
    <xdr:sp macro="" textlink="">
      <xdr:nvSpPr>
        <xdr:cNvPr id="4" name="Rectangle: Rounded Corners 3">
          <a:extLst>
            <a:ext uri="{FF2B5EF4-FFF2-40B4-BE49-F238E27FC236}">
              <a16:creationId xmlns:a16="http://schemas.microsoft.com/office/drawing/2014/main" id="{0A451FE8-BF3B-1075-BD11-FB48429AF0DC}"/>
            </a:ext>
          </a:extLst>
        </xdr:cNvPr>
        <xdr:cNvSpPr/>
      </xdr:nvSpPr>
      <xdr:spPr>
        <a:xfrm>
          <a:off x="922020" y="1381125"/>
          <a:ext cx="2522220" cy="407670"/>
        </a:xfrm>
        <a:prstGeom prst="roundRect">
          <a:avLst/>
        </a:prstGeom>
        <a:ln>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1150" b="1">
              <a:solidFill>
                <a:schemeClr val="accent2"/>
              </a:solidFill>
              <a:latin typeface="Calibri" panose="020F0502020204030204" pitchFamily="34" charset="0"/>
              <a:ea typeface="Calibri" panose="020F0502020204030204" pitchFamily="34" charset="0"/>
              <a:cs typeface="Calibri" panose="020F0502020204030204" pitchFamily="34" charset="0"/>
            </a:rPr>
            <a:t>TOTAL NUMBER</a:t>
          </a:r>
          <a:r>
            <a:rPr lang="en-US" sz="1150" b="1" baseline="0">
              <a:solidFill>
                <a:schemeClr val="accent2"/>
              </a:solidFill>
              <a:latin typeface="Calibri" panose="020F0502020204030204" pitchFamily="34" charset="0"/>
              <a:ea typeface="Calibri" panose="020F0502020204030204" pitchFamily="34" charset="0"/>
              <a:cs typeface="Calibri" panose="020F0502020204030204" pitchFamily="34" charset="0"/>
            </a:rPr>
            <a:t> OF PRODUCTS : 109</a:t>
          </a:r>
          <a:endParaRPr lang="en-US" sz="1150" b="1">
            <a:solidFill>
              <a:schemeClr val="accent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307340</xdr:colOff>
      <xdr:row>7</xdr:row>
      <xdr:rowOff>114300</xdr:rowOff>
    </xdr:from>
    <xdr:to>
      <xdr:col>14</xdr:col>
      <xdr:colOff>391160</xdr:colOff>
      <xdr:row>9</xdr:row>
      <xdr:rowOff>160020</xdr:rowOff>
    </xdr:to>
    <xdr:sp macro="" textlink="">
      <xdr:nvSpPr>
        <xdr:cNvPr id="13" name="Rectangle: Rounded Corners 12">
          <a:extLst>
            <a:ext uri="{FF2B5EF4-FFF2-40B4-BE49-F238E27FC236}">
              <a16:creationId xmlns:a16="http://schemas.microsoft.com/office/drawing/2014/main" id="{25678D09-4F78-4F93-8FC4-EB876F870C9C}"/>
            </a:ext>
          </a:extLst>
        </xdr:cNvPr>
        <xdr:cNvSpPr/>
      </xdr:nvSpPr>
      <xdr:spPr>
        <a:xfrm>
          <a:off x="6403340" y="1381125"/>
          <a:ext cx="2522220" cy="407670"/>
        </a:xfrm>
        <a:prstGeom prst="roundRect">
          <a:avLst/>
        </a:prstGeom>
        <a:ln>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1400" b="1">
              <a:solidFill>
                <a:schemeClr val="accent2"/>
              </a:solidFill>
              <a:latin typeface="Calibri" panose="020F0502020204030204" pitchFamily="34" charset="0"/>
              <a:ea typeface="Calibri" panose="020F0502020204030204" pitchFamily="34" charset="0"/>
              <a:cs typeface="Calibri" panose="020F0502020204030204" pitchFamily="34" charset="0"/>
            </a:rPr>
            <a:t>AVERAGE DISCOUNT</a:t>
          </a:r>
          <a:r>
            <a:rPr lang="en-US" sz="1400" b="1" baseline="0">
              <a:solidFill>
                <a:schemeClr val="accent2"/>
              </a:solidFill>
              <a:latin typeface="Calibri" panose="020F0502020204030204" pitchFamily="34" charset="0"/>
              <a:ea typeface="Calibri" panose="020F0502020204030204" pitchFamily="34" charset="0"/>
              <a:cs typeface="Calibri" panose="020F0502020204030204" pitchFamily="34" charset="0"/>
            </a:rPr>
            <a:t>: 36%</a:t>
          </a:r>
          <a:endParaRPr lang="en-US" sz="1400" b="1">
            <a:solidFill>
              <a:schemeClr val="accent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0</xdr:colOff>
      <xdr:row>7</xdr:row>
      <xdr:rowOff>114300</xdr:rowOff>
    </xdr:from>
    <xdr:to>
      <xdr:col>19</xdr:col>
      <xdr:colOff>83820</xdr:colOff>
      <xdr:row>9</xdr:row>
      <xdr:rowOff>160020</xdr:rowOff>
    </xdr:to>
    <xdr:sp macro="" textlink="">
      <xdr:nvSpPr>
        <xdr:cNvPr id="15" name="Rectangle: Rounded Corners 14">
          <a:extLst>
            <a:ext uri="{FF2B5EF4-FFF2-40B4-BE49-F238E27FC236}">
              <a16:creationId xmlns:a16="http://schemas.microsoft.com/office/drawing/2014/main" id="{2DB738B8-2ED5-4FA9-91E7-6D044E60FBF9}"/>
            </a:ext>
          </a:extLst>
        </xdr:cNvPr>
        <xdr:cNvSpPr/>
      </xdr:nvSpPr>
      <xdr:spPr>
        <a:xfrm>
          <a:off x="9144000" y="1381125"/>
          <a:ext cx="2522220" cy="407670"/>
        </a:xfrm>
        <a:prstGeom prst="roundRect">
          <a:avLst/>
        </a:prstGeom>
        <a:gradFill rotWithShape="1">
          <a:gsLst>
            <a:gs pos="0">
              <a:srgbClr val="0F9ED5">
                <a:lumMod val="110000"/>
                <a:satMod val="105000"/>
                <a:tint val="67000"/>
              </a:srgbClr>
            </a:gs>
            <a:gs pos="50000">
              <a:srgbClr val="0F9ED5">
                <a:lumMod val="105000"/>
                <a:satMod val="103000"/>
                <a:tint val="73000"/>
              </a:srgbClr>
            </a:gs>
            <a:gs pos="100000">
              <a:srgbClr val="0F9ED5">
                <a:lumMod val="105000"/>
                <a:satMod val="109000"/>
                <a:tint val="81000"/>
              </a:srgbClr>
            </a:gs>
          </a:gsLst>
          <a:lin ang="5400000" scaled="0"/>
        </a:gradFill>
        <a:ln w="12700" cap="flat" cmpd="sng" algn="ctr">
          <a:solidFill>
            <a:schemeClr val="accent4"/>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97132"/>
              </a:solidFill>
              <a:effectLst/>
              <a:uLnTx/>
              <a:uFillTx/>
              <a:latin typeface="Calibri" panose="020F0502020204030204" pitchFamily="34" charset="0"/>
              <a:ea typeface="Calibri" panose="020F0502020204030204" pitchFamily="34" charset="0"/>
              <a:cs typeface="Calibri" panose="020F0502020204030204" pitchFamily="34" charset="0"/>
            </a:rPr>
            <a:t>AVERAGE RATING: 3.889</a:t>
          </a:r>
        </a:p>
      </xdr:txBody>
    </xdr:sp>
    <xdr:clientData/>
  </xdr:twoCellAnchor>
  <xdr:twoCellAnchor>
    <xdr:from>
      <xdr:col>6</xdr:col>
      <xdr:colOff>5080</xdr:colOff>
      <xdr:row>7</xdr:row>
      <xdr:rowOff>114300</xdr:rowOff>
    </xdr:from>
    <xdr:to>
      <xdr:col>10</xdr:col>
      <xdr:colOff>88900</xdr:colOff>
      <xdr:row>9</xdr:row>
      <xdr:rowOff>160020</xdr:rowOff>
    </xdr:to>
    <xdr:sp macro="" textlink="">
      <xdr:nvSpPr>
        <xdr:cNvPr id="18" name="Rectangle: Rounded Corners 17">
          <a:extLst>
            <a:ext uri="{FF2B5EF4-FFF2-40B4-BE49-F238E27FC236}">
              <a16:creationId xmlns:a16="http://schemas.microsoft.com/office/drawing/2014/main" id="{DD9E800F-D5C2-4A21-BED5-58E366C2758E}"/>
            </a:ext>
          </a:extLst>
        </xdr:cNvPr>
        <xdr:cNvSpPr/>
      </xdr:nvSpPr>
      <xdr:spPr>
        <a:xfrm>
          <a:off x="3662680" y="1381125"/>
          <a:ext cx="2522220" cy="407670"/>
        </a:xfrm>
        <a:prstGeom prst="roundRect">
          <a:avLst/>
        </a:prstGeom>
        <a:gradFill rotWithShape="1">
          <a:gsLst>
            <a:gs pos="0">
              <a:srgbClr val="0F9ED5">
                <a:lumMod val="110000"/>
                <a:satMod val="105000"/>
                <a:tint val="67000"/>
              </a:srgbClr>
            </a:gs>
            <a:gs pos="50000">
              <a:srgbClr val="0F9ED5">
                <a:lumMod val="105000"/>
                <a:satMod val="103000"/>
                <a:tint val="73000"/>
              </a:srgbClr>
            </a:gs>
            <a:gs pos="100000">
              <a:srgbClr val="0F9ED5">
                <a:lumMod val="105000"/>
                <a:satMod val="109000"/>
                <a:tint val="81000"/>
              </a:srgbClr>
            </a:gs>
          </a:gsLst>
          <a:lin ang="5400000" scaled="0"/>
        </a:gradFill>
        <a:ln w="12700" cap="flat" cmpd="sng" algn="ctr">
          <a:solidFill>
            <a:schemeClr val="accent4"/>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rgbClr val="E97132"/>
              </a:solidFill>
              <a:effectLst/>
              <a:uLnTx/>
              <a:uFillTx/>
              <a:latin typeface="Calibri" panose="020F0502020204030204" pitchFamily="34" charset="0"/>
              <a:ea typeface="Calibri" panose="020F0502020204030204" pitchFamily="34" charset="0"/>
              <a:cs typeface="Calibri" panose="020F0502020204030204" pitchFamily="34" charset="0"/>
            </a:rPr>
            <a:t>TOTAL NUMBER OF REVIEWS: 109</a:t>
          </a:r>
        </a:p>
      </xdr:txBody>
    </xdr:sp>
    <xdr:clientData/>
  </xdr:twoCellAnchor>
  <xdr:twoCellAnchor>
    <xdr:from>
      <xdr:col>1</xdr:col>
      <xdr:colOff>409575</xdr:colOff>
      <xdr:row>13</xdr:row>
      <xdr:rowOff>161925</xdr:rowOff>
    </xdr:from>
    <xdr:to>
      <xdr:col>13</xdr:col>
      <xdr:colOff>142875</xdr:colOff>
      <xdr:row>34</xdr:row>
      <xdr:rowOff>76200</xdr:rowOff>
    </xdr:to>
    <xdr:graphicFrame macro="">
      <xdr:nvGraphicFramePr>
        <xdr:cNvPr id="31" name="Chart 30">
          <a:extLst>
            <a:ext uri="{FF2B5EF4-FFF2-40B4-BE49-F238E27FC236}">
              <a16:creationId xmlns:a16="http://schemas.microsoft.com/office/drawing/2014/main" id="{18646130-A599-4136-B695-1F7E27201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257175</xdr:colOff>
      <xdr:row>13</xdr:row>
      <xdr:rowOff>152400</xdr:rowOff>
    </xdr:from>
    <xdr:to>
      <xdr:col>23</xdr:col>
      <xdr:colOff>59055</xdr:colOff>
      <xdr:row>37</xdr:row>
      <xdr:rowOff>11430</xdr:rowOff>
    </xdr:to>
    <xdr:graphicFrame macro="">
      <xdr:nvGraphicFramePr>
        <xdr:cNvPr id="36" name="Chart 35">
          <a:extLst>
            <a:ext uri="{FF2B5EF4-FFF2-40B4-BE49-F238E27FC236}">
              <a16:creationId xmlns:a16="http://schemas.microsoft.com/office/drawing/2014/main" id="{2975B48E-9FE6-42BA-938D-02B3AC061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390525</xdr:colOff>
      <xdr:row>35</xdr:row>
      <xdr:rowOff>66675</xdr:rowOff>
    </xdr:from>
    <xdr:to>
      <xdr:col>12</xdr:col>
      <xdr:colOff>317948</xdr:colOff>
      <xdr:row>58</xdr:row>
      <xdr:rowOff>141337</xdr:rowOff>
    </xdr:to>
    <xdr:pic>
      <xdr:nvPicPr>
        <xdr:cNvPr id="38" name="Picture 37">
          <a:extLst>
            <a:ext uri="{FF2B5EF4-FFF2-40B4-BE49-F238E27FC236}">
              <a16:creationId xmlns:a16="http://schemas.microsoft.com/office/drawing/2014/main" id="{F9F2EB8D-07EF-BB06-C26C-E9EFEF06496D}"/>
            </a:ext>
          </a:extLst>
        </xdr:cNvPr>
        <xdr:cNvPicPr>
          <a:picLocks noChangeAspect="1"/>
        </xdr:cNvPicPr>
      </xdr:nvPicPr>
      <xdr:blipFill>
        <a:blip xmlns:r="http://schemas.openxmlformats.org/officeDocument/2006/relationships" r:embed="rId3"/>
        <a:stretch>
          <a:fillRect/>
        </a:stretch>
      </xdr:blipFill>
      <xdr:spPr>
        <a:xfrm>
          <a:off x="1000125" y="6400800"/>
          <a:ext cx="6633023" cy="4237087"/>
        </a:xfrm>
        <a:prstGeom prst="rect">
          <a:avLst/>
        </a:prstGeom>
      </xdr:spPr>
    </xdr:pic>
    <xdr:clientData/>
  </xdr:twoCellAnchor>
  <xdr:twoCellAnchor>
    <xdr:from>
      <xdr:col>6</xdr:col>
      <xdr:colOff>133350</xdr:colOff>
      <xdr:row>10</xdr:row>
      <xdr:rowOff>161925</xdr:rowOff>
    </xdr:from>
    <xdr:to>
      <xdr:col>14</xdr:col>
      <xdr:colOff>171450</xdr:colOff>
      <xdr:row>13</xdr:row>
      <xdr:rowOff>0</xdr:rowOff>
    </xdr:to>
    <xdr:sp macro="" textlink="">
      <xdr:nvSpPr>
        <xdr:cNvPr id="40" name="Rectangle: Rounded Corners 39">
          <a:extLst>
            <a:ext uri="{FF2B5EF4-FFF2-40B4-BE49-F238E27FC236}">
              <a16:creationId xmlns:a16="http://schemas.microsoft.com/office/drawing/2014/main" id="{A1A9FBC0-4D94-4801-94DB-1C879FF215DE}"/>
            </a:ext>
          </a:extLst>
        </xdr:cNvPr>
        <xdr:cNvSpPr/>
      </xdr:nvSpPr>
      <xdr:spPr>
        <a:xfrm>
          <a:off x="3790950" y="1971675"/>
          <a:ext cx="4914900" cy="381000"/>
        </a:xfrm>
        <a:prstGeom prst="roundRect">
          <a:avLst/>
        </a:prstGeom>
        <a:gradFill rotWithShape="1">
          <a:gsLst>
            <a:gs pos="0">
              <a:srgbClr val="0F9ED5">
                <a:lumMod val="110000"/>
                <a:satMod val="105000"/>
                <a:tint val="67000"/>
              </a:srgbClr>
            </a:gs>
            <a:gs pos="50000">
              <a:srgbClr val="0F9ED5">
                <a:lumMod val="105000"/>
                <a:satMod val="103000"/>
                <a:tint val="73000"/>
              </a:srgbClr>
            </a:gs>
            <a:gs pos="100000">
              <a:srgbClr val="0F9ED5">
                <a:lumMod val="105000"/>
                <a:satMod val="109000"/>
                <a:tint val="81000"/>
              </a:srgbClr>
            </a:gs>
          </a:gsLst>
          <a:lin ang="5400000" scaled="0"/>
        </a:gradFill>
        <a:ln w="12700" cap="flat" cmpd="sng" algn="ctr">
          <a:solidFill>
            <a:srgbClr val="0F9ED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1" i="0" u="none" strike="noStrike" kern="0" cap="none" spc="0" normalizeH="0" baseline="0" noProof="0">
              <a:ln>
                <a:noFill/>
              </a:ln>
              <a:solidFill>
                <a:srgbClr val="E97132"/>
              </a:solidFill>
              <a:effectLst/>
              <a:uLnTx/>
              <a:uFillTx/>
              <a:latin typeface="Calibri" panose="020F0502020204030204" pitchFamily="34" charset="0"/>
              <a:ea typeface="Calibri" panose="020F0502020204030204" pitchFamily="34" charset="0"/>
              <a:cs typeface="Calibri" panose="020F0502020204030204" pitchFamily="34" charset="0"/>
            </a:rPr>
            <a:t>Product Performance</a:t>
          </a:r>
        </a:p>
      </xdr:txBody>
    </xdr:sp>
    <xdr:clientData/>
  </xdr:twoCellAnchor>
  <xdr:twoCellAnchor>
    <xdr:from>
      <xdr:col>7</xdr:col>
      <xdr:colOff>0</xdr:colOff>
      <xdr:row>61</xdr:row>
      <xdr:rowOff>0</xdr:rowOff>
    </xdr:from>
    <xdr:to>
      <xdr:col>15</xdr:col>
      <xdr:colOff>38100</xdr:colOff>
      <xdr:row>63</xdr:row>
      <xdr:rowOff>19050</xdr:rowOff>
    </xdr:to>
    <xdr:sp macro="" textlink="">
      <xdr:nvSpPr>
        <xdr:cNvPr id="43" name="Rectangle: Rounded Corners 42">
          <a:extLst>
            <a:ext uri="{FF2B5EF4-FFF2-40B4-BE49-F238E27FC236}">
              <a16:creationId xmlns:a16="http://schemas.microsoft.com/office/drawing/2014/main" id="{0051FCB8-459F-4439-B1CF-0CE347F47B6D}"/>
            </a:ext>
          </a:extLst>
        </xdr:cNvPr>
        <xdr:cNvSpPr/>
      </xdr:nvSpPr>
      <xdr:spPr>
        <a:xfrm>
          <a:off x="4267200" y="11039475"/>
          <a:ext cx="4914900" cy="381000"/>
        </a:xfrm>
        <a:prstGeom prst="roundRect">
          <a:avLst/>
        </a:prstGeom>
        <a:gradFill rotWithShape="1">
          <a:gsLst>
            <a:gs pos="0">
              <a:srgbClr val="0F9ED5">
                <a:lumMod val="110000"/>
                <a:satMod val="105000"/>
                <a:tint val="67000"/>
              </a:srgbClr>
            </a:gs>
            <a:gs pos="50000">
              <a:srgbClr val="0F9ED5">
                <a:lumMod val="105000"/>
                <a:satMod val="103000"/>
                <a:tint val="73000"/>
              </a:srgbClr>
            </a:gs>
            <a:gs pos="100000">
              <a:srgbClr val="0F9ED5">
                <a:lumMod val="105000"/>
                <a:satMod val="109000"/>
                <a:tint val="81000"/>
              </a:srgbClr>
            </a:gs>
          </a:gsLst>
          <a:lin ang="5400000" scaled="0"/>
        </a:gradFill>
        <a:ln w="12700" cap="flat" cmpd="sng" algn="ctr">
          <a:solidFill>
            <a:srgbClr val="0F9ED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1" i="0" u="none" strike="noStrike" kern="0" cap="none" spc="0" normalizeH="0" baseline="0" noProof="0">
              <a:ln>
                <a:noFill/>
              </a:ln>
              <a:solidFill>
                <a:srgbClr val="E97132"/>
              </a:solidFill>
              <a:effectLst/>
              <a:uLnTx/>
              <a:uFillTx/>
              <a:latin typeface="Calibri" panose="020F0502020204030204" pitchFamily="34" charset="0"/>
              <a:ea typeface="Calibri" panose="020F0502020204030204" pitchFamily="34" charset="0"/>
              <a:cs typeface="Calibri" panose="020F0502020204030204" pitchFamily="34" charset="0"/>
            </a:rPr>
            <a:t>Trend Analysis</a:t>
          </a:r>
        </a:p>
      </xdr:txBody>
    </xdr:sp>
    <xdr:clientData/>
  </xdr:twoCellAnchor>
  <xdr:twoCellAnchor>
    <xdr:from>
      <xdr:col>1</xdr:col>
      <xdr:colOff>409575</xdr:colOff>
      <xdr:row>64</xdr:row>
      <xdr:rowOff>180974</xdr:rowOff>
    </xdr:from>
    <xdr:to>
      <xdr:col>15</xdr:col>
      <xdr:colOff>142875</xdr:colOff>
      <xdr:row>106</xdr:row>
      <xdr:rowOff>133349</xdr:rowOff>
    </xdr:to>
    <xdr:graphicFrame macro="">
      <xdr:nvGraphicFramePr>
        <xdr:cNvPr id="47" name="Chart 46">
          <a:extLst>
            <a:ext uri="{FF2B5EF4-FFF2-40B4-BE49-F238E27FC236}">
              <a16:creationId xmlns:a16="http://schemas.microsoft.com/office/drawing/2014/main" id="{D8644CBE-C4F8-44E7-B902-41F3781BE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552450</xdr:colOff>
      <xdr:row>65</xdr:row>
      <xdr:rowOff>57150</xdr:rowOff>
    </xdr:from>
    <xdr:to>
      <xdr:col>31</xdr:col>
      <xdr:colOff>228600</xdr:colOff>
      <xdr:row>107</xdr:row>
      <xdr:rowOff>0</xdr:rowOff>
    </xdr:to>
    <xdr:graphicFrame macro="">
      <xdr:nvGraphicFramePr>
        <xdr:cNvPr id="50" name="Chart 49">
          <a:extLst>
            <a:ext uri="{FF2B5EF4-FFF2-40B4-BE49-F238E27FC236}">
              <a16:creationId xmlns:a16="http://schemas.microsoft.com/office/drawing/2014/main" id="{22E879D5-E25E-43B0-9D6C-A54996806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238125</xdr:colOff>
      <xdr:row>113</xdr:row>
      <xdr:rowOff>114300</xdr:rowOff>
    </xdr:from>
    <xdr:to>
      <xdr:col>16</xdr:col>
      <xdr:colOff>192405</xdr:colOff>
      <xdr:row>136</xdr:row>
      <xdr:rowOff>13335</xdr:rowOff>
    </xdr:to>
    <xdr:graphicFrame macro="">
      <xdr:nvGraphicFramePr>
        <xdr:cNvPr id="53" name="Chart 52">
          <a:extLst>
            <a:ext uri="{FF2B5EF4-FFF2-40B4-BE49-F238E27FC236}">
              <a16:creationId xmlns:a16="http://schemas.microsoft.com/office/drawing/2014/main" id="{5EAE67C5-1A81-4B7D-805C-EBF694D99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110</xdr:row>
      <xdr:rowOff>0</xdr:rowOff>
    </xdr:from>
    <xdr:to>
      <xdr:col>14</xdr:col>
      <xdr:colOff>38100</xdr:colOff>
      <xdr:row>112</xdr:row>
      <xdr:rowOff>19050</xdr:rowOff>
    </xdr:to>
    <xdr:sp macro="" textlink="">
      <xdr:nvSpPr>
        <xdr:cNvPr id="56" name="Rectangle: Rounded Corners 55">
          <a:extLst>
            <a:ext uri="{FF2B5EF4-FFF2-40B4-BE49-F238E27FC236}">
              <a16:creationId xmlns:a16="http://schemas.microsoft.com/office/drawing/2014/main" id="{5D66AA6E-EBD1-46D5-8C3A-38CA4B80710F}"/>
            </a:ext>
          </a:extLst>
        </xdr:cNvPr>
        <xdr:cNvSpPr/>
      </xdr:nvSpPr>
      <xdr:spPr>
        <a:xfrm>
          <a:off x="3657600" y="19907250"/>
          <a:ext cx="4914900" cy="381000"/>
        </a:xfrm>
        <a:prstGeom prst="roundRect">
          <a:avLst/>
        </a:prstGeom>
        <a:gradFill rotWithShape="1">
          <a:gsLst>
            <a:gs pos="0">
              <a:srgbClr val="0F9ED5">
                <a:lumMod val="110000"/>
                <a:satMod val="105000"/>
                <a:tint val="67000"/>
              </a:srgbClr>
            </a:gs>
            <a:gs pos="50000">
              <a:srgbClr val="0F9ED5">
                <a:lumMod val="105000"/>
                <a:satMod val="103000"/>
                <a:tint val="73000"/>
              </a:srgbClr>
            </a:gs>
            <a:gs pos="100000">
              <a:srgbClr val="0F9ED5">
                <a:lumMod val="105000"/>
                <a:satMod val="109000"/>
                <a:tint val="81000"/>
              </a:srgbClr>
            </a:gs>
          </a:gsLst>
          <a:lin ang="5400000" scaled="0"/>
        </a:gradFill>
        <a:ln w="12700" cap="flat" cmpd="sng" algn="ctr">
          <a:solidFill>
            <a:srgbClr val="0F9ED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1" i="0" u="none" strike="noStrike" kern="0" cap="none" spc="0" normalizeH="0" baseline="0" noProof="0">
              <a:ln>
                <a:noFill/>
              </a:ln>
              <a:solidFill>
                <a:srgbClr val="E97132"/>
              </a:solidFill>
              <a:effectLst/>
              <a:uLnTx/>
              <a:uFillTx/>
              <a:latin typeface="Calibri" panose="020F0502020204030204" pitchFamily="34" charset="0"/>
              <a:ea typeface="Calibri" panose="020F0502020204030204" pitchFamily="34" charset="0"/>
              <a:cs typeface="Calibri" panose="020F0502020204030204" pitchFamily="34" charset="0"/>
            </a:rPr>
            <a:t>Product Categories</a:t>
          </a:r>
        </a:p>
      </xdr:txBody>
    </xdr:sp>
    <xdr:clientData/>
  </xdr:twoCellAnchor>
  <xdr:twoCellAnchor editAs="oneCell">
    <xdr:from>
      <xdr:col>1</xdr:col>
      <xdr:colOff>609599</xdr:colOff>
      <xdr:row>114</xdr:row>
      <xdr:rowOff>0</xdr:rowOff>
    </xdr:from>
    <xdr:to>
      <xdr:col>6</xdr:col>
      <xdr:colOff>161924</xdr:colOff>
      <xdr:row>122</xdr:row>
      <xdr:rowOff>47625</xdr:rowOff>
    </xdr:to>
    <mc:AlternateContent xmlns:mc="http://schemas.openxmlformats.org/markup-compatibility/2006" xmlns:a14="http://schemas.microsoft.com/office/drawing/2010/main">
      <mc:Choice Requires="a14">
        <xdr:graphicFrame macro="">
          <xdr:nvGraphicFramePr>
            <xdr:cNvPr id="62" name="Rating Category 1">
              <a:extLst>
                <a:ext uri="{FF2B5EF4-FFF2-40B4-BE49-F238E27FC236}">
                  <a16:creationId xmlns:a16="http://schemas.microsoft.com/office/drawing/2014/main" id="{B0DD2CB3-D5D1-445E-BE1C-5993F86E3869}"/>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1219199" y="20631150"/>
              <a:ext cx="2600325"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219075</xdr:colOff>
      <xdr:row>136</xdr:row>
      <xdr:rowOff>161925</xdr:rowOff>
    </xdr:from>
    <xdr:to>
      <xdr:col>16</xdr:col>
      <xdr:colOff>238125</xdr:colOff>
      <xdr:row>157</xdr:row>
      <xdr:rowOff>175260</xdr:rowOff>
    </xdr:to>
    <xdr:graphicFrame macro="">
      <xdr:nvGraphicFramePr>
        <xdr:cNvPr id="64" name="Chart 63">
          <a:extLst>
            <a:ext uri="{FF2B5EF4-FFF2-40B4-BE49-F238E27FC236}">
              <a16:creationId xmlns:a16="http://schemas.microsoft.com/office/drawing/2014/main" id="{781D4430-E4B1-400F-B843-CFCC486C1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600074</xdr:colOff>
      <xdr:row>122</xdr:row>
      <xdr:rowOff>114300</xdr:rowOff>
    </xdr:from>
    <xdr:to>
      <xdr:col>6</xdr:col>
      <xdr:colOff>38099</xdr:colOff>
      <xdr:row>136</xdr:row>
      <xdr:rowOff>161925</xdr:rowOff>
    </xdr:to>
    <mc:AlternateContent xmlns:mc="http://schemas.openxmlformats.org/markup-compatibility/2006" xmlns:a14="http://schemas.microsoft.com/office/drawing/2010/main">
      <mc:Choice Requires="a14">
        <xdr:graphicFrame macro="">
          <xdr:nvGraphicFramePr>
            <xdr:cNvPr id="66" name="Discount Category 1">
              <a:extLst>
                <a:ext uri="{FF2B5EF4-FFF2-40B4-BE49-F238E27FC236}">
                  <a16:creationId xmlns:a16="http://schemas.microsoft.com/office/drawing/2014/main" id="{9A99DE10-DF15-42D6-942F-E1ED79056359}"/>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1209674" y="22193250"/>
              <a:ext cx="2486025"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533400</xdr:colOff>
      <xdr:row>5</xdr:row>
      <xdr:rowOff>19050</xdr:rowOff>
    </xdr:from>
    <xdr:to>
      <xdr:col>14</xdr:col>
      <xdr:colOff>571500</xdr:colOff>
      <xdr:row>7</xdr:row>
      <xdr:rowOff>38100</xdr:rowOff>
    </xdr:to>
    <xdr:sp macro="" textlink="">
      <xdr:nvSpPr>
        <xdr:cNvPr id="67" name="Rectangle: Rounded Corners 66">
          <a:extLst>
            <a:ext uri="{FF2B5EF4-FFF2-40B4-BE49-F238E27FC236}">
              <a16:creationId xmlns:a16="http://schemas.microsoft.com/office/drawing/2014/main" id="{9C48C235-3EBB-4E3E-93B0-26A65F87BE7E}"/>
            </a:ext>
          </a:extLst>
        </xdr:cNvPr>
        <xdr:cNvSpPr/>
      </xdr:nvSpPr>
      <xdr:spPr>
        <a:xfrm>
          <a:off x="4191000" y="923925"/>
          <a:ext cx="4914900" cy="381000"/>
        </a:xfrm>
        <a:prstGeom prst="roundRect">
          <a:avLst/>
        </a:prstGeom>
        <a:gradFill rotWithShape="1">
          <a:gsLst>
            <a:gs pos="0">
              <a:srgbClr val="0F9ED5">
                <a:lumMod val="110000"/>
                <a:satMod val="105000"/>
                <a:tint val="67000"/>
              </a:srgbClr>
            </a:gs>
            <a:gs pos="50000">
              <a:srgbClr val="0F9ED5">
                <a:lumMod val="105000"/>
                <a:satMod val="103000"/>
                <a:tint val="73000"/>
              </a:srgbClr>
            </a:gs>
            <a:gs pos="100000">
              <a:srgbClr val="0F9ED5">
                <a:lumMod val="105000"/>
                <a:satMod val="109000"/>
                <a:tint val="81000"/>
              </a:srgbClr>
            </a:gs>
          </a:gsLst>
          <a:lin ang="5400000" scaled="0"/>
        </a:gradFill>
        <a:ln w="12700" cap="flat" cmpd="sng" algn="ctr">
          <a:solidFill>
            <a:srgbClr val="0F9ED5"/>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400" b="1" i="0" u="none" strike="noStrike" kern="0" cap="none" spc="0" normalizeH="0" baseline="0" noProof="0">
              <a:ln>
                <a:noFill/>
              </a:ln>
              <a:solidFill>
                <a:srgbClr val="E97132"/>
              </a:solidFill>
              <a:effectLst/>
              <a:uLnTx/>
              <a:uFillTx/>
              <a:latin typeface="Calibri" panose="020F0502020204030204" pitchFamily="34" charset="0"/>
              <a:ea typeface="Calibri" panose="020F0502020204030204" pitchFamily="34" charset="0"/>
              <a:cs typeface="Calibri" panose="020F0502020204030204" pitchFamily="34" charset="0"/>
            </a:rPr>
            <a:t>Overview</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1.864707291665" createdVersion="8" refreshedVersion="8" minRefreshableVersion="3" recordCount="109" xr:uid="{EDE58800-CA3D-4DC5-8902-33AA0A9C988F}">
  <cacheSource type="worksheet">
    <worksheetSource name="Table3"/>
  </cacheSource>
  <cacheFields count="10">
    <cacheField name="Product" numFmtId="0">
      <sharedItems count="109">
        <s v="32PCS Portable Cordless Drill Set With Cyclic Battery Drive -26 Variable Speed"/>
        <s v="Konka Healty Electric Kettle, 24-hour Heat Preservation,1.5L,800W, White"/>
        <s v="Metal Wall Clock Silver Dial Crystal Jewelry Round Home Decoration Wall Clock"/>
        <s v="220V 60W Electric Soldering Iron Kits With Tools, Tips, And Multimeter"/>
        <s v="LED Wall Digital Alarm Clock Study Home 12 / 24H Clock Calendar"/>
        <s v="Portable Wardrobe Nonwoven With 3 Hanging Rods And 6 Storage Shelves"/>
        <s v="12V 19500rpm Handheld Electric Angle Grinder Tool - UK - Yellow/Black"/>
        <s v="LASA Stainless Steel Double Wall Mount Soap Dispenser - 500ml"/>
        <s v="137 Pieces Cake Decorating Tool Set Baking Supplies"/>
        <s v="Large Lazy Inflatable Sofa Chairs PVC Lounger Seat Bag"/>
        <s v="MultiFunctional Storage Rack Multi-layer Bookshelf"/>
        <s v="Portable Mini Cordless Car Vacuum Cleaner - Blue"/>
        <s v="5 Pieces/set Of Stainless Steel Induction Cooker Pots"/>
        <s v="Shower Cap Wide Elastic Band Cover Reusable Bashroom Cap"/>
        <s v="5-PCS Stainless Steel Cooking Pot Set With Steamed Slices"/>
        <s v="LASA 3 Tier Bamboo Shoe Bench Storage Shelf"/>
        <s v="LASA Aluminum Folding Truck Hand Cart - 68kg Max"/>
        <s v="53 Pieces/Set Yarn Knitting Crochet Hooks With Bag - Pansies"/>
        <s v="53Pcs/Set Yarn Knitting Crochet Hooks With Bag - Fortune Cat"/>
        <s v="24 Grid Wall-mounted Sundries Organiser Fabric Closet Bag Storage Rack"/>
        <s v="4pcs Bathroom/Kitchen Towel Rack,Roll Paper Holder,Towel Bars,Hook"/>
        <s v="LED Eye Protection  Desk Lamp , Study, Reading, USB Fan - Double Pen Holder"/>
        <s v="1/2/3 Seater Elastic Sofa Cover,Living Room/Home Decor Chair Cover-Grey"/>
        <s v="Thickening Multipurpose Non Stick Easy To Clean Heat Resistant Spoon Pad"/>
        <s v="52 Pieces Cake Decorating Tool Set Gift Kit Baking Supplies"/>
        <s v="Portable Home Small Air Humidifier 3-Speed Fan - Green"/>
        <s v="Cushion Silicone Butt Cushion Summer Ice Cushion Honeycomb Gel Cushion"/>
        <s v="Multifunction Laser Level With Adjustment Tripod"/>
        <s v="2 Pairs Cowhide Split Leather Work Gloves.32â„‰ Or Above Welding Gloves"/>
        <s v="Pen Grips For Kids Pen Grip Posture Correction Tool For Kids"/>
        <s v="Shower Nozzle Cleaning Unclogging Needle Mini Crevice Small Hole Cleaning Brush"/>
        <s v="Foldable Overbed Table/Desk"/>
        <s v="DIY File Folder, Office Drawer File Holder, Pen Holder, Desktop Storage Rack"/>
        <s v="13 In 1 Home Repair Tools Box Kit Set"/>
        <s v="Weighing Scale Digital Bathroom Body Fat Scale USB-Black"/>
        <s v="Electric LED UV Mosquito Killer Lamp, Outdoor/Indoor Fly Killer Trap Light -USB"/>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12 Litre Black Insulated Lunch Box"/>
        <s v="Portable Wine Table With Folding Round Table"/>
        <s v="LASA FOLDING TABLE SERVING STAND"/>
        <s v="VIC Wireless Vacuum Cleaner Dual Use For Home And Car 120W High Power Powerful"/>
        <s v="2pcs Solar Street Light Flood Light Outdoor"/>
        <s v="2PCS Ice Silk Square Cushion Cover Pillowcases - 65x65cm"/>
        <s v="60W Hot Melt Glue Sprayer - Efficient And Stable Glue Dispensing"/>
        <s v="Cartoon Embroidered Mini Towel Bear Cotton Wash Cloth Hand 4pcs"/>
        <s v="Memory Foam Neck Pillow Cover, With Pillow Core - 50*30cm"/>
        <s v="LED Solar Street Light-fake Camera"/>
        <s v="8in1 Screwdriver With LED Light"/>
        <s v="380ML USB Rechargeable Portable Small Blenders And Juicers"/>
        <s v="Christmas Elk Fence Yard Lawn Decorations Cute For Holidays"/>
        <s v="3D Waterproof EVA Plastic Shower Curtain 1.8*2Mtrs"/>
        <s v="100 Pcs Crochet Hook Tool Set Knitting Hook Set With Box"/>
        <s v="Artificial Potted Flowers Room Decorative Flowers (2 Pieces)"/>
        <s v="Desk Foldable Fan Adjustable Fan Strong Wind 3 Gear Usb"/>
        <s v="12 Litre Insulated Lunch Box Grey"/>
        <s v="Bedroom Simple Floor Hanging Clothes Rack Single Pole Hat Rack - White"/>
        <s v="7-piece Set Of Storage Bags, Travel Storage Bags, Shoe Bags"/>
        <s v="115  Piece Set Of Multifunctional Precision Screwdrivers"/>
        <s v="6 Layers Steel Pipe Assembling Dustproof Storage Shoe Cabinet"/>
        <s v="LED Romantic Spaceship Starry Sky Projector,Children's Bedroom Night Light-Blue"/>
        <s v="Wall Clock With Hidden Safe Box"/>
        <s v="Genebre 115 In 1 Screwdriver Repairing Tool Set For IPhone Cellphone Hand Tool"/>
        <s v="Cute Christmas Fence Garden Decorations For Holiday Home"/>
        <s v="Angle Measuring Tool Full Metal Multi Angle Measuring Tool"/>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40cm Gold DIY Acrylic Wall Sticker Clock"/>
        <s v="Metal Decorative Hooks Key Hangers Entryway Wall Hooks Towel Hooks - Home"/>
        <s v="Baby Early Education Shape And Color Cognitive Training Toys"/>
        <s v="Wrought Iron Bathroom Shelf Wall Mounted Free Punch Toilet Rack"/>
        <s v="LASA Digital Thermometer And Hydrometer"/>
        <s v="Simple Metal Dog Art Sculpture Decoration For Home Office"/>
        <s v="4M Float Switch Water Level Controller -Water Tank"/>
        <s v="Mythco 120COB Solar Wall Ligt With Motion Sensor And Remote Control 3 Modes"/>
        <s v="Wall-mounted Sticker Punch-free Plug Fixer"/>
        <s v="120W Cordless Vacuum Cleaners Handheld Electric Vacuum Cleaner"/>
        <s v="Electronic Digital Display Vernier Caliper"/>
        <s v="Punch-free Great Load Bearing Bathroom Storage Rack Wall Shelf-White"/>
        <s v="Agapeon Toothbrush Holder And Toothpaste Dispenser"/>
        <s v="Watercolour Gold Foil Textured Print Pillow Cover"/>
        <s v="Anti-Skid Absorbent Insulation Coaster  For Home Office"/>
        <s v="Household Pineapple Peeler Peeler"/>
        <s v="Intelligent  LED Body Sensor Wireless Lighting Night Light USB"/>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Creative Owl Shape Keychain Black"/>
        <s v="6 In 1 Bottle Can Opener Multifunctional Easy Opener"/>
        <s v="1PC Refrigerator Food Seal Pocket Fridge Bags"/>
        <s v="Peacock  Throw Pillow Cushion Case For Home Car"/>
        <s v="Exfoliate And Exfoliate Face Towel - Black"/>
        <s v="Classic Black Cat Cotton Hemp Pillow Case For Home Car"/>
        <s v="Black Simple Water Cup Wine Coaster Anti Slip Absorbent"/>
        <s v="Sewing Machine Needle Threader Stitch Insertion Tool Automatic Quick Sewing"/>
        <s v="3PCS Single Head Knitting Crochet Sweater Needle Set"/>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numFmtId="9">
      <sharedItems containsSemiMixedTypes="0" containsString="0" containsNumber="1" minValue="0.01" maxValue="0.64" count="46">
        <n v="0.39"/>
        <n v="0.21"/>
        <n v="0.04"/>
        <n v="0.09"/>
        <n v="0.19"/>
        <n v="0.18"/>
        <n v="0.27"/>
        <n v="0.38"/>
        <n v="0.24"/>
        <n v="0.28999999999999998"/>
        <n v="0.46"/>
        <n v="0.25"/>
        <n v="0.13"/>
        <n v="0.02"/>
        <n v="0.55000000000000004"/>
        <n v="0.54"/>
        <n v="0.49"/>
        <n v="0.01"/>
        <n v="0.42"/>
        <n v="0.48"/>
        <n v="0.3"/>
        <n v="0.26"/>
        <n v="0.33"/>
        <n v="0.23"/>
        <n v="0.4"/>
        <n v="0.45"/>
        <n v="0.37"/>
        <n v="0.47"/>
        <n v="0.08"/>
        <n v="0.14000000000000001"/>
        <n v="0.36"/>
        <n v="0.03"/>
        <n v="0.41"/>
        <n v="0.32"/>
        <n v="0.22"/>
        <n v="0.5"/>
        <n v="0.34"/>
        <n v="0.35"/>
        <n v="0.2"/>
        <n v="0.11"/>
        <n v="0.43"/>
        <n v="0.51"/>
        <n v="0.52"/>
        <n v="0.61"/>
        <n v="0.64"/>
        <n v="0.53"/>
      </sharedItems>
    </cacheField>
    <cacheField name="Review" numFmtId="0">
      <sharedItems containsMixedTypes="1" containsNumber="1" containsInteger="1" minValue="-69" maxValue="-1" count="24">
        <n v="-5"/>
        <n v="-1"/>
        <s v="Unknown"/>
        <n v="-15"/>
        <n v="-12"/>
        <n v="-55"/>
        <n v="-24"/>
        <n v="-6"/>
        <n v="-13"/>
        <n v="-7"/>
        <n v="-3"/>
        <n v="-32"/>
        <n v="-20"/>
        <n v="-9"/>
        <n v="-2"/>
        <n v="-14"/>
        <n v="-16"/>
        <n v="-44"/>
        <n v="-39"/>
        <n v="-10"/>
        <n v="-69"/>
        <n v="-49"/>
        <n v="-36"/>
        <n v="-17"/>
      </sharedItems>
    </cacheField>
    <cacheField name="Ratings" numFmtId="0">
      <sharedItems containsMixedTypes="1" containsNumber="1" minValue="2" maxValue="5" count="23">
        <n v="3"/>
        <n v="5"/>
        <s v="Unknown"/>
        <n v="4"/>
        <n v="4.5999999999999996"/>
        <n v="3.8"/>
        <n v="2.5"/>
        <n v="2.1"/>
        <n v="4.3"/>
        <n v="4.5"/>
        <n v="4.7"/>
        <n v="4.0999999999999996"/>
        <n v="4.8"/>
        <n v="4.2"/>
        <n v="4.4000000000000004"/>
        <n v="2.9"/>
        <n v="2.2999999999999998"/>
        <n v="2.2000000000000002"/>
        <n v="2"/>
        <n v="2.8"/>
        <n v="2.6"/>
        <n v="2.7"/>
        <n v="3.3"/>
      </sharedItems>
    </cacheField>
    <cacheField name="Positive Reviews" numFmtId="0">
      <sharedItems containsMixedTypes="1" containsNumber="1" containsInteger="1" minValue="1" maxValue="69" count="24">
        <n v="5"/>
        <n v="1"/>
        <s v="Unknown"/>
        <n v="15"/>
        <n v="12"/>
        <n v="55"/>
        <n v="24"/>
        <n v="6"/>
        <n v="13"/>
        <n v="7"/>
        <n v="3"/>
        <n v="32"/>
        <n v="20"/>
        <n v="9"/>
        <n v="2"/>
        <n v="14"/>
        <n v="16"/>
        <n v="44"/>
        <n v="39"/>
        <n v="10"/>
        <n v="69"/>
        <n v="49"/>
        <n v="36"/>
        <n v="17"/>
      </sharedItems>
    </cacheField>
    <cacheField name="Discount Amount (KSh)" numFmtId="1">
      <sharedItems containsSemiMixedTypes="0" containsString="0" containsNumber="1" containsInteger="1" minValue="24" maxValue="2585"/>
    </cacheField>
    <cacheField name="Rating Category" numFmtId="0">
      <sharedItems count="4">
        <s v="Average"/>
        <s v="Excellent"/>
        <s v="Unknown"/>
        <s v="Poor"/>
      </sharedItems>
    </cacheField>
    <cacheField name="Discount Category" numFmtId="0">
      <sharedItems count="3">
        <s v="Medium Discount"/>
        <s v="Low Discount"/>
        <s v="High Discount"/>
      </sharedItems>
    </cacheField>
  </cacheFields>
  <extLst>
    <ext xmlns:x14="http://schemas.microsoft.com/office/spreadsheetml/2009/9/main" uri="{725AE2AE-9491-48be-B2B4-4EB974FC3084}">
      <x14:pivotCacheDefinition pivotCacheId="1341957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n v="3750"/>
    <n v="6143"/>
    <x v="0"/>
    <x v="0"/>
    <x v="0"/>
    <x v="0"/>
    <n v="2393"/>
    <x v="0"/>
    <x v="0"/>
  </r>
  <r>
    <x v="1"/>
    <n v="3640"/>
    <n v="4588"/>
    <x v="1"/>
    <x v="1"/>
    <x v="1"/>
    <x v="1"/>
    <n v="948"/>
    <x v="1"/>
    <x v="0"/>
  </r>
  <r>
    <x v="2"/>
    <n v="3546"/>
    <n v="3699"/>
    <x v="2"/>
    <x v="2"/>
    <x v="2"/>
    <x v="2"/>
    <n v="153"/>
    <x v="2"/>
    <x v="1"/>
  </r>
  <r>
    <x v="3"/>
    <n v="2999"/>
    <n v="3290"/>
    <x v="3"/>
    <x v="3"/>
    <x v="3"/>
    <x v="3"/>
    <n v="291"/>
    <x v="0"/>
    <x v="1"/>
  </r>
  <r>
    <x v="4"/>
    <n v="2999"/>
    <n v="3699"/>
    <x v="4"/>
    <x v="0"/>
    <x v="4"/>
    <x v="0"/>
    <n v="700"/>
    <x v="1"/>
    <x v="1"/>
  </r>
  <r>
    <x v="5"/>
    <n v="2880"/>
    <n v="3520"/>
    <x v="5"/>
    <x v="4"/>
    <x v="5"/>
    <x v="4"/>
    <n v="640"/>
    <x v="0"/>
    <x v="1"/>
  </r>
  <r>
    <x v="6"/>
    <n v="2799"/>
    <n v="3810"/>
    <x v="6"/>
    <x v="2"/>
    <x v="2"/>
    <x v="2"/>
    <n v="1011"/>
    <x v="2"/>
    <x v="0"/>
  </r>
  <r>
    <x v="7"/>
    <n v="2750"/>
    <n v="4471"/>
    <x v="7"/>
    <x v="2"/>
    <x v="2"/>
    <x v="2"/>
    <n v="1721"/>
    <x v="2"/>
    <x v="0"/>
  </r>
  <r>
    <x v="8"/>
    <n v="2319"/>
    <n v="3032"/>
    <x v="8"/>
    <x v="5"/>
    <x v="4"/>
    <x v="5"/>
    <n v="713"/>
    <x v="1"/>
    <x v="0"/>
  </r>
  <r>
    <x v="9"/>
    <n v="2300"/>
    <n v="3240"/>
    <x v="9"/>
    <x v="0"/>
    <x v="0"/>
    <x v="0"/>
    <n v="940"/>
    <x v="0"/>
    <x v="0"/>
  </r>
  <r>
    <x v="10"/>
    <n v="2200"/>
    <n v="4080"/>
    <x v="10"/>
    <x v="2"/>
    <x v="2"/>
    <x v="2"/>
    <n v="1880"/>
    <x v="2"/>
    <x v="2"/>
  </r>
  <r>
    <x v="11"/>
    <n v="2199"/>
    <n v="2923"/>
    <x v="11"/>
    <x v="6"/>
    <x v="4"/>
    <x v="6"/>
    <n v="724"/>
    <x v="1"/>
    <x v="0"/>
  </r>
  <r>
    <x v="12"/>
    <n v="2170"/>
    <n v="2500"/>
    <x v="12"/>
    <x v="7"/>
    <x v="6"/>
    <x v="7"/>
    <n v="330"/>
    <x v="3"/>
    <x v="1"/>
  </r>
  <r>
    <x v="13"/>
    <n v="2132"/>
    <n v="2169"/>
    <x v="13"/>
    <x v="2"/>
    <x v="2"/>
    <x v="2"/>
    <n v="37"/>
    <x v="2"/>
    <x v="1"/>
  </r>
  <r>
    <x v="14"/>
    <n v="2115"/>
    <n v="4700"/>
    <x v="14"/>
    <x v="8"/>
    <x v="7"/>
    <x v="8"/>
    <n v="2585"/>
    <x v="3"/>
    <x v="2"/>
  </r>
  <r>
    <x v="15"/>
    <n v="2048"/>
    <n v="4500"/>
    <x v="15"/>
    <x v="9"/>
    <x v="8"/>
    <x v="9"/>
    <n v="2452"/>
    <x v="0"/>
    <x v="2"/>
  </r>
  <r>
    <x v="16"/>
    <n v="2025"/>
    <n v="3971"/>
    <x v="16"/>
    <x v="10"/>
    <x v="1"/>
    <x v="10"/>
    <n v="1946"/>
    <x v="1"/>
    <x v="2"/>
  </r>
  <r>
    <x v="17"/>
    <n v="1980"/>
    <n v="2699"/>
    <x v="6"/>
    <x v="11"/>
    <x v="9"/>
    <x v="11"/>
    <n v="719"/>
    <x v="1"/>
    <x v="0"/>
  </r>
  <r>
    <x v="18"/>
    <n v="1940"/>
    <n v="2650"/>
    <x v="6"/>
    <x v="12"/>
    <x v="10"/>
    <x v="12"/>
    <n v="710"/>
    <x v="1"/>
    <x v="0"/>
  </r>
  <r>
    <x v="19"/>
    <n v="1875"/>
    <n v="1899"/>
    <x v="17"/>
    <x v="2"/>
    <x v="2"/>
    <x v="2"/>
    <n v="24"/>
    <x v="2"/>
    <x v="1"/>
  </r>
  <r>
    <x v="20"/>
    <n v="1860"/>
    <n v="3220"/>
    <x v="18"/>
    <x v="2"/>
    <x v="2"/>
    <x v="2"/>
    <n v="1360"/>
    <x v="2"/>
    <x v="2"/>
  </r>
  <r>
    <x v="21"/>
    <n v="1820"/>
    <n v="3490"/>
    <x v="19"/>
    <x v="13"/>
    <x v="8"/>
    <x v="13"/>
    <n v="1670"/>
    <x v="0"/>
    <x v="2"/>
  </r>
  <r>
    <x v="22"/>
    <n v="1800"/>
    <n v="2700"/>
    <x v="7"/>
    <x v="14"/>
    <x v="9"/>
    <x v="14"/>
    <n v="900"/>
    <x v="1"/>
    <x v="0"/>
  </r>
  <r>
    <x v="23"/>
    <n v="1768"/>
    <n v="1799"/>
    <x v="13"/>
    <x v="2"/>
    <x v="2"/>
    <x v="2"/>
    <n v="31"/>
    <x v="2"/>
    <x v="1"/>
  </r>
  <r>
    <x v="24"/>
    <n v="1758"/>
    <n v="2499"/>
    <x v="20"/>
    <x v="12"/>
    <x v="11"/>
    <x v="12"/>
    <n v="741"/>
    <x v="0"/>
    <x v="0"/>
  </r>
  <r>
    <x v="25"/>
    <n v="1740"/>
    <n v="2356"/>
    <x v="21"/>
    <x v="0"/>
    <x v="12"/>
    <x v="0"/>
    <n v="616"/>
    <x v="1"/>
    <x v="0"/>
  </r>
  <r>
    <x v="26"/>
    <n v="1732"/>
    <n v="1799"/>
    <x v="2"/>
    <x v="2"/>
    <x v="2"/>
    <x v="2"/>
    <n v="67"/>
    <x v="2"/>
    <x v="1"/>
  </r>
  <r>
    <x v="27"/>
    <n v="1680"/>
    <n v="2499"/>
    <x v="22"/>
    <x v="13"/>
    <x v="13"/>
    <x v="13"/>
    <n v="819"/>
    <x v="0"/>
    <x v="0"/>
  </r>
  <r>
    <x v="28"/>
    <n v="1666"/>
    <n v="1699"/>
    <x v="13"/>
    <x v="2"/>
    <x v="2"/>
    <x v="2"/>
    <n v="33"/>
    <x v="2"/>
    <x v="1"/>
  </r>
  <r>
    <x v="29"/>
    <n v="1660"/>
    <n v="1699"/>
    <x v="13"/>
    <x v="2"/>
    <x v="2"/>
    <x v="2"/>
    <n v="39"/>
    <x v="2"/>
    <x v="1"/>
  </r>
  <r>
    <x v="30"/>
    <n v="1658"/>
    <n v="1699"/>
    <x v="13"/>
    <x v="2"/>
    <x v="2"/>
    <x v="2"/>
    <n v="41"/>
    <x v="2"/>
    <x v="1"/>
  </r>
  <r>
    <x v="31"/>
    <n v="1650"/>
    <n v="2150"/>
    <x v="23"/>
    <x v="15"/>
    <x v="14"/>
    <x v="15"/>
    <n v="500"/>
    <x v="0"/>
    <x v="0"/>
  </r>
  <r>
    <x v="32"/>
    <n v="1620"/>
    <n v="2690"/>
    <x v="24"/>
    <x v="1"/>
    <x v="1"/>
    <x v="1"/>
    <n v="1070"/>
    <x v="1"/>
    <x v="0"/>
  </r>
  <r>
    <x v="33"/>
    <n v="1600"/>
    <n v="2929"/>
    <x v="25"/>
    <x v="0"/>
    <x v="5"/>
    <x v="0"/>
    <n v="1329"/>
    <x v="0"/>
    <x v="2"/>
  </r>
  <r>
    <x v="34"/>
    <n v="1580"/>
    <n v="2499"/>
    <x v="26"/>
    <x v="9"/>
    <x v="10"/>
    <x v="9"/>
    <n v="919"/>
    <x v="1"/>
    <x v="0"/>
  </r>
  <r>
    <x v="35"/>
    <n v="1570"/>
    <n v="2988"/>
    <x v="27"/>
    <x v="9"/>
    <x v="7"/>
    <x v="9"/>
    <n v="1418"/>
    <x v="3"/>
    <x v="2"/>
  </r>
  <r>
    <x v="36"/>
    <n v="1526"/>
    <n v="1660"/>
    <x v="28"/>
    <x v="2"/>
    <x v="2"/>
    <x v="2"/>
    <n v="134"/>
    <x v="2"/>
    <x v="1"/>
  </r>
  <r>
    <x v="37"/>
    <n v="1468"/>
    <n v="1699"/>
    <x v="29"/>
    <x v="2"/>
    <x v="2"/>
    <x v="2"/>
    <n v="231"/>
    <x v="2"/>
    <x v="1"/>
  </r>
  <r>
    <x v="38"/>
    <n v="1466"/>
    <n v="1699"/>
    <x v="29"/>
    <x v="2"/>
    <x v="2"/>
    <x v="2"/>
    <n v="233"/>
    <x v="2"/>
    <x v="1"/>
  </r>
  <r>
    <x v="39"/>
    <n v="1462"/>
    <n v="1499"/>
    <x v="13"/>
    <x v="2"/>
    <x v="2"/>
    <x v="2"/>
    <n v="37"/>
    <x v="2"/>
    <x v="1"/>
  </r>
  <r>
    <x v="40"/>
    <n v="1460"/>
    <n v="2290"/>
    <x v="30"/>
    <x v="2"/>
    <x v="2"/>
    <x v="2"/>
    <n v="830"/>
    <x v="2"/>
    <x v="0"/>
  </r>
  <r>
    <x v="41"/>
    <n v="1459"/>
    <n v="1499"/>
    <x v="31"/>
    <x v="2"/>
    <x v="2"/>
    <x v="2"/>
    <n v="40"/>
    <x v="2"/>
    <x v="1"/>
  </r>
  <r>
    <x v="42"/>
    <n v="1420"/>
    <n v="2420"/>
    <x v="32"/>
    <x v="2"/>
    <x v="2"/>
    <x v="2"/>
    <n v="1000"/>
    <x v="2"/>
    <x v="2"/>
  </r>
  <r>
    <x v="43"/>
    <n v="1350"/>
    <n v="1990"/>
    <x v="33"/>
    <x v="8"/>
    <x v="5"/>
    <x v="8"/>
    <n v="640"/>
    <x v="0"/>
    <x v="0"/>
  </r>
  <r>
    <x v="44"/>
    <n v="1300"/>
    <n v="2500"/>
    <x v="19"/>
    <x v="2"/>
    <x v="2"/>
    <x v="2"/>
    <n v="1200"/>
    <x v="2"/>
    <x v="2"/>
  </r>
  <r>
    <x v="45"/>
    <n v="1274"/>
    <n v="2800"/>
    <x v="14"/>
    <x v="0"/>
    <x v="12"/>
    <x v="0"/>
    <n v="1526"/>
    <x v="1"/>
    <x v="2"/>
  </r>
  <r>
    <x v="46"/>
    <n v="1220"/>
    <n v="1555"/>
    <x v="34"/>
    <x v="16"/>
    <x v="15"/>
    <x v="16"/>
    <n v="335"/>
    <x v="3"/>
    <x v="0"/>
  </r>
  <r>
    <x v="47"/>
    <n v="1200"/>
    <n v="1950"/>
    <x v="7"/>
    <x v="2"/>
    <x v="2"/>
    <x v="2"/>
    <n v="750"/>
    <x v="2"/>
    <x v="0"/>
  </r>
  <r>
    <x v="48"/>
    <n v="1200"/>
    <n v="2400"/>
    <x v="35"/>
    <x v="2"/>
    <x v="2"/>
    <x v="2"/>
    <n v="1200"/>
    <x v="2"/>
    <x v="2"/>
  </r>
  <r>
    <x v="49"/>
    <n v="1190"/>
    <n v="1785"/>
    <x v="22"/>
    <x v="2"/>
    <x v="2"/>
    <x v="2"/>
    <n v="595"/>
    <x v="2"/>
    <x v="0"/>
  </r>
  <r>
    <x v="50"/>
    <n v="1190"/>
    <n v="1810"/>
    <x v="36"/>
    <x v="2"/>
    <x v="2"/>
    <x v="2"/>
    <n v="620"/>
    <x v="2"/>
    <x v="0"/>
  </r>
  <r>
    <x v="51"/>
    <n v="1189"/>
    <n v="2199"/>
    <x v="10"/>
    <x v="1"/>
    <x v="0"/>
    <x v="1"/>
    <n v="1010"/>
    <x v="0"/>
    <x v="2"/>
  </r>
  <r>
    <x v="52"/>
    <n v="1150"/>
    <n v="1737"/>
    <x v="36"/>
    <x v="2"/>
    <x v="2"/>
    <x v="2"/>
    <n v="587"/>
    <x v="2"/>
    <x v="0"/>
  </r>
  <r>
    <x v="53"/>
    <n v="1080"/>
    <n v="1874"/>
    <x v="18"/>
    <x v="2"/>
    <x v="2"/>
    <x v="2"/>
    <n v="794"/>
    <x v="2"/>
    <x v="2"/>
  </r>
  <r>
    <x v="54"/>
    <n v="1000"/>
    <n v="2000"/>
    <x v="35"/>
    <x v="9"/>
    <x v="16"/>
    <x v="9"/>
    <n v="1000"/>
    <x v="3"/>
    <x v="2"/>
  </r>
  <r>
    <x v="55"/>
    <n v="999"/>
    <n v="2000"/>
    <x v="35"/>
    <x v="2"/>
    <x v="2"/>
    <x v="2"/>
    <n v="1001"/>
    <x v="2"/>
    <x v="2"/>
  </r>
  <r>
    <x v="56"/>
    <n v="998"/>
    <n v="1966"/>
    <x v="16"/>
    <x v="17"/>
    <x v="4"/>
    <x v="17"/>
    <n v="968"/>
    <x v="1"/>
    <x v="2"/>
  </r>
  <r>
    <x v="57"/>
    <n v="990"/>
    <n v="1500"/>
    <x v="36"/>
    <x v="18"/>
    <x v="10"/>
    <x v="18"/>
    <n v="510"/>
    <x v="1"/>
    <x v="0"/>
  </r>
  <r>
    <x v="58"/>
    <n v="990"/>
    <n v="1814"/>
    <x v="25"/>
    <x v="7"/>
    <x v="17"/>
    <x v="7"/>
    <n v="824"/>
    <x v="3"/>
    <x v="2"/>
  </r>
  <r>
    <x v="59"/>
    <n v="988"/>
    <n v="1580"/>
    <x v="26"/>
    <x v="14"/>
    <x v="3"/>
    <x v="14"/>
    <n v="592"/>
    <x v="0"/>
    <x v="0"/>
  </r>
  <r>
    <x v="60"/>
    <n v="980"/>
    <n v="1490"/>
    <x v="36"/>
    <x v="4"/>
    <x v="10"/>
    <x v="4"/>
    <n v="510"/>
    <x v="1"/>
    <x v="0"/>
  </r>
  <r>
    <x v="61"/>
    <n v="979"/>
    <n v="1920"/>
    <x v="16"/>
    <x v="1"/>
    <x v="1"/>
    <x v="1"/>
    <n v="941"/>
    <x v="1"/>
    <x v="2"/>
  </r>
  <r>
    <x v="62"/>
    <n v="968"/>
    <n v="1814"/>
    <x v="27"/>
    <x v="7"/>
    <x v="17"/>
    <x v="7"/>
    <n v="846"/>
    <x v="3"/>
    <x v="2"/>
  </r>
  <r>
    <x v="63"/>
    <n v="950"/>
    <n v="1525"/>
    <x v="7"/>
    <x v="14"/>
    <x v="9"/>
    <x v="14"/>
    <n v="575"/>
    <x v="1"/>
    <x v="0"/>
  </r>
  <r>
    <x v="64"/>
    <n v="899"/>
    <n v="1699"/>
    <x v="27"/>
    <x v="2"/>
    <x v="2"/>
    <x v="2"/>
    <n v="800"/>
    <x v="2"/>
    <x v="2"/>
  </r>
  <r>
    <x v="65"/>
    <n v="880"/>
    <n v="1350"/>
    <x v="37"/>
    <x v="7"/>
    <x v="3"/>
    <x v="7"/>
    <n v="470"/>
    <x v="0"/>
    <x v="0"/>
  </r>
  <r>
    <x v="66"/>
    <n v="850"/>
    <n v="1700"/>
    <x v="35"/>
    <x v="2"/>
    <x v="2"/>
    <x v="2"/>
    <n v="850"/>
    <x v="2"/>
    <x v="2"/>
  </r>
  <r>
    <x v="67"/>
    <n v="799"/>
    <n v="999"/>
    <x v="38"/>
    <x v="4"/>
    <x v="11"/>
    <x v="4"/>
    <n v="200"/>
    <x v="0"/>
    <x v="0"/>
  </r>
  <r>
    <x v="68"/>
    <n v="799"/>
    <n v="1343"/>
    <x v="32"/>
    <x v="2"/>
    <x v="2"/>
    <x v="2"/>
    <n v="544"/>
    <x v="2"/>
    <x v="2"/>
  </r>
  <r>
    <x v="69"/>
    <n v="799"/>
    <n v="1567"/>
    <x v="16"/>
    <x v="2"/>
    <x v="2"/>
    <x v="2"/>
    <n v="768"/>
    <x v="2"/>
    <x v="2"/>
  </r>
  <r>
    <x v="70"/>
    <n v="799"/>
    <n v="900"/>
    <x v="39"/>
    <x v="2"/>
    <x v="2"/>
    <x v="2"/>
    <n v="101"/>
    <x v="2"/>
    <x v="1"/>
  </r>
  <r>
    <x v="71"/>
    <n v="790"/>
    <n v="1485"/>
    <x v="27"/>
    <x v="2"/>
    <x v="2"/>
    <x v="2"/>
    <n v="695"/>
    <x v="2"/>
    <x v="2"/>
  </r>
  <r>
    <x v="72"/>
    <n v="699"/>
    <n v="1343"/>
    <x v="19"/>
    <x v="2"/>
    <x v="2"/>
    <x v="2"/>
    <n v="644"/>
    <x v="2"/>
    <x v="2"/>
  </r>
  <r>
    <x v="73"/>
    <n v="690"/>
    <n v="1200"/>
    <x v="40"/>
    <x v="2"/>
    <x v="2"/>
    <x v="2"/>
    <n v="510"/>
    <x v="2"/>
    <x v="2"/>
  </r>
  <r>
    <x v="74"/>
    <n v="671"/>
    <n v="1316"/>
    <x v="16"/>
    <x v="2"/>
    <x v="2"/>
    <x v="2"/>
    <n v="645"/>
    <x v="2"/>
    <x v="2"/>
  </r>
  <r>
    <x v="75"/>
    <n v="630"/>
    <n v="1100"/>
    <x v="40"/>
    <x v="2"/>
    <x v="2"/>
    <x v="2"/>
    <n v="470"/>
    <x v="2"/>
    <x v="2"/>
  </r>
  <r>
    <x v="76"/>
    <n v="610"/>
    <n v="1060"/>
    <x v="18"/>
    <x v="2"/>
    <x v="2"/>
    <x v="2"/>
    <n v="450"/>
    <x v="2"/>
    <x v="2"/>
  </r>
  <r>
    <x v="77"/>
    <n v="552"/>
    <n v="1035"/>
    <x v="27"/>
    <x v="4"/>
    <x v="12"/>
    <x v="4"/>
    <n v="483"/>
    <x v="1"/>
    <x v="2"/>
  </r>
  <r>
    <x v="78"/>
    <n v="527"/>
    <n v="999"/>
    <x v="27"/>
    <x v="15"/>
    <x v="11"/>
    <x v="15"/>
    <n v="472"/>
    <x v="0"/>
    <x v="2"/>
  </r>
  <r>
    <x v="79"/>
    <n v="525"/>
    <n v="1029"/>
    <x v="16"/>
    <x v="2"/>
    <x v="2"/>
    <x v="2"/>
    <n v="504"/>
    <x v="2"/>
    <x v="2"/>
  </r>
  <r>
    <x v="80"/>
    <n v="509"/>
    <n v="899"/>
    <x v="40"/>
    <x v="0"/>
    <x v="0"/>
    <x v="0"/>
    <n v="390"/>
    <x v="0"/>
    <x v="2"/>
  </r>
  <r>
    <x v="81"/>
    <n v="501"/>
    <n v="860"/>
    <x v="18"/>
    <x v="7"/>
    <x v="9"/>
    <x v="7"/>
    <n v="359"/>
    <x v="1"/>
    <x v="2"/>
  </r>
  <r>
    <x v="82"/>
    <n v="499"/>
    <n v="900"/>
    <x v="25"/>
    <x v="2"/>
    <x v="2"/>
    <x v="2"/>
    <n v="401"/>
    <x v="2"/>
    <x v="2"/>
  </r>
  <r>
    <x v="83"/>
    <n v="475"/>
    <n v="931"/>
    <x v="16"/>
    <x v="2"/>
    <x v="2"/>
    <x v="2"/>
    <n v="456"/>
    <x v="2"/>
    <x v="2"/>
  </r>
  <r>
    <x v="84"/>
    <n v="458"/>
    <n v="986"/>
    <x v="15"/>
    <x v="19"/>
    <x v="0"/>
    <x v="19"/>
    <n v="528"/>
    <x v="0"/>
    <x v="2"/>
  </r>
  <r>
    <x v="85"/>
    <n v="450"/>
    <n v="900"/>
    <x v="35"/>
    <x v="1"/>
    <x v="18"/>
    <x v="1"/>
    <n v="450"/>
    <x v="3"/>
    <x v="2"/>
  </r>
  <r>
    <x v="86"/>
    <n v="445"/>
    <n v="873"/>
    <x v="16"/>
    <x v="20"/>
    <x v="19"/>
    <x v="20"/>
    <n v="428"/>
    <x v="3"/>
    <x v="2"/>
  </r>
  <r>
    <x v="87"/>
    <n v="420"/>
    <n v="647"/>
    <x v="37"/>
    <x v="21"/>
    <x v="4"/>
    <x v="21"/>
    <n v="227"/>
    <x v="1"/>
    <x v="0"/>
  </r>
  <r>
    <x v="88"/>
    <n v="389"/>
    <n v="656"/>
    <x v="32"/>
    <x v="22"/>
    <x v="8"/>
    <x v="22"/>
    <n v="267"/>
    <x v="0"/>
    <x v="2"/>
  </r>
  <r>
    <x v="89"/>
    <n v="382"/>
    <n v="700"/>
    <x v="25"/>
    <x v="23"/>
    <x v="20"/>
    <x v="23"/>
    <n v="318"/>
    <x v="3"/>
    <x v="2"/>
  </r>
  <r>
    <x v="90"/>
    <n v="345"/>
    <n v="602"/>
    <x v="40"/>
    <x v="7"/>
    <x v="16"/>
    <x v="7"/>
    <n v="257"/>
    <x v="3"/>
    <x v="2"/>
  </r>
  <r>
    <x v="91"/>
    <n v="332"/>
    <n v="684"/>
    <x v="41"/>
    <x v="14"/>
    <x v="1"/>
    <x v="14"/>
    <n v="352"/>
    <x v="1"/>
    <x v="2"/>
  </r>
  <r>
    <x v="92"/>
    <n v="330"/>
    <n v="647"/>
    <x v="16"/>
    <x v="1"/>
    <x v="3"/>
    <x v="1"/>
    <n v="317"/>
    <x v="0"/>
    <x v="2"/>
  </r>
  <r>
    <x v="93"/>
    <n v="325"/>
    <n v="680"/>
    <x v="42"/>
    <x v="3"/>
    <x v="21"/>
    <x v="3"/>
    <n v="355"/>
    <x v="3"/>
    <x v="2"/>
  </r>
  <r>
    <x v="94"/>
    <n v="299"/>
    <n v="600"/>
    <x v="35"/>
    <x v="2"/>
    <x v="2"/>
    <x v="2"/>
    <n v="301"/>
    <x v="2"/>
    <x v="2"/>
  </r>
  <r>
    <x v="95"/>
    <n v="299"/>
    <n v="384"/>
    <x v="34"/>
    <x v="2"/>
    <x v="2"/>
    <x v="2"/>
    <n v="85"/>
    <x v="2"/>
    <x v="0"/>
  </r>
  <r>
    <x v="96"/>
    <n v="274"/>
    <n v="537"/>
    <x v="16"/>
    <x v="2"/>
    <x v="2"/>
    <x v="2"/>
    <n v="263"/>
    <x v="2"/>
    <x v="2"/>
  </r>
  <r>
    <x v="97"/>
    <n v="248"/>
    <n v="486"/>
    <x v="16"/>
    <x v="2"/>
    <x v="2"/>
    <x v="2"/>
    <n v="238"/>
    <x v="2"/>
    <x v="2"/>
  </r>
  <r>
    <x v="98"/>
    <n v="238"/>
    <n v="476"/>
    <x v="35"/>
    <x v="2"/>
    <x v="2"/>
    <x v="2"/>
    <n v="238"/>
    <x v="2"/>
    <x v="2"/>
  </r>
  <r>
    <x v="99"/>
    <n v="230"/>
    <n v="450"/>
    <x v="16"/>
    <x v="2"/>
    <x v="2"/>
    <x v="2"/>
    <n v="220"/>
    <x v="2"/>
    <x v="2"/>
  </r>
  <r>
    <x v="100"/>
    <n v="199"/>
    <n v="504"/>
    <x v="43"/>
    <x v="2"/>
    <x v="2"/>
    <x v="2"/>
    <n v="305"/>
    <x v="2"/>
    <x v="2"/>
  </r>
  <r>
    <x v="101"/>
    <n v="199"/>
    <n v="553"/>
    <x v="44"/>
    <x v="2"/>
    <x v="2"/>
    <x v="2"/>
    <n v="354"/>
    <x v="2"/>
    <x v="2"/>
  </r>
  <r>
    <x v="102"/>
    <n v="198"/>
    <n v="260"/>
    <x v="8"/>
    <x v="2"/>
    <x v="2"/>
    <x v="2"/>
    <n v="62"/>
    <x v="2"/>
    <x v="0"/>
  </r>
  <r>
    <x v="103"/>
    <n v="195"/>
    <n v="360"/>
    <x v="10"/>
    <x v="14"/>
    <x v="1"/>
    <x v="14"/>
    <n v="165"/>
    <x v="1"/>
    <x v="2"/>
  </r>
  <r>
    <x v="104"/>
    <n v="185"/>
    <n v="382"/>
    <x v="42"/>
    <x v="13"/>
    <x v="8"/>
    <x v="13"/>
    <n v="197"/>
    <x v="0"/>
    <x v="2"/>
  </r>
  <r>
    <x v="105"/>
    <n v="171"/>
    <n v="360"/>
    <x v="45"/>
    <x v="14"/>
    <x v="1"/>
    <x v="14"/>
    <n v="189"/>
    <x v="1"/>
    <x v="2"/>
  </r>
  <r>
    <x v="106"/>
    <n v="169"/>
    <n v="320"/>
    <x v="27"/>
    <x v="2"/>
    <x v="2"/>
    <x v="2"/>
    <n v="151"/>
    <x v="2"/>
    <x v="2"/>
  </r>
  <r>
    <x v="107"/>
    <n v="105"/>
    <n v="200"/>
    <x v="19"/>
    <x v="2"/>
    <x v="2"/>
    <x v="2"/>
    <n v="95"/>
    <x v="2"/>
    <x v="2"/>
  </r>
  <r>
    <x v="108"/>
    <n v="38"/>
    <n v="80"/>
    <x v="45"/>
    <x v="8"/>
    <x v="22"/>
    <x v="8"/>
    <n v="42"/>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056863-D50E-439B-A771-5298D7AA44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0">
    <pivotField dataField="1" showAll="0">
      <items count="110">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pivotField>
    <pivotField numFmtId="1" showAll="0"/>
    <pivotField numFmtId="1" showAll="0"/>
    <pivotField numFmtId="9" showAll="0"/>
    <pivotField showAll="0"/>
    <pivotField showAll="0"/>
    <pivotField showAll="0"/>
    <pivotField numFmtId="1" showAll="0"/>
    <pivotField showAll="0"/>
    <pivotField axis="axisRow" showAll="0">
      <items count="4">
        <item x="2"/>
        <item x="1"/>
        <item x="0"/>
        <item t="default"/>
      </items>
    </pivotField>
  </pivotFields>
  <rowFields count="1">
    <field x="9"/>
  </rowFields>
  <rowItems count="4">
    <i>
      <x/>
    </i>
    <i>
      <x v="1"/>
    </i>
    <i>
      <x v="2"/>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1EBA3A-22E0-423F-BBA6-911F4C2F0E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0">
    <pivotField dataField="1" showAll="0">
      <items count="110">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pivotField>
    <pivotField numFmtId="1" showAll="0"/>
    <pivotField numFmtId="1" showAll="0"/>
    <pivotField numFmtId="9" showAll="0"/>
    <pivotField showAll="0"/>
    <pivotField showAll="0"/>
    <pivotField dataField="1" showAll="0">
      <items count="25">
        <item x="1"/>
        <item x="14"/>
        <item x="10"/>
        <item x="0"/>
        <item x="7"/>
        <item x="9"/>
        <item x="13"/>
        <item x="19"/>
        <item x="4"/>
        <item x="8"/>
        <item x="15"/>
        <item x="3"/>
        <item x="16"/>
        <item x="23"/>
        <item x="12"/>
        <item x="6"/>
        <item x="11"/>
        <item x="22"/>
        <item x="18"/>
        <item x="17"/>
        <item x="21"/>
        <item x="5"/>
        <item x="20"/>
        <item x="2"/>
        <item t="default"/>
      </items>
    </pivotField>
    <pivotField numFmtId="1" showAll="0"/>
    <pivotField showAll="0">
      <items count="5">
        <item x="0"/>
        <item x="1"/>
        <item x="3"/>
        <item x="2"/>
        <item t="default"/>
      </items>
    </pivotField>
    <pivotField showAll="0">
      <items count="4">
        <item x="2"/>
        <item x="1"/>
        <item x="0"/>
        <item t="default"/>
      </items>
    </pivotField>
  </pivotFields>
  <rowItems count="1">
    <i/>
  </rowItems>
  <colFields count="1">
    <field x="-2"/>
  </colFields>
  <colItems count="2">
    <i>
      <x/>
    </i>
    <i i="1">
      <x v="1"/>
    </i>
  </colItems>
  <dataFields count="2">
    <dataField name="Count of Product" fld="0" subtotal="count" baseField="0" baseItem="0"/>
    <dataField name="Count of Positive Review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3FFC91-DB9F-4FD1-98A3-2EE8D1A099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0">
    <pivotField showAll="0">
      <items count="110">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pivotField>
    <pivotField dataField="1" numFmtId="1" showAll="0"/>
    <pivotField dataField="1" numFmtId="1" showAll="0"/>
    <pivotField dataField="1" numFmtId="9" showAll="0"/>
    <pivotField showAll="0"/>
    <pivotField dataField="1" showAll="0">
      <items count="24">
        <item x="18"/>
        <item x="7"/>
        <item x="17"/>
        <item x="16"/>
        <item x="6"/>
        <item x="20"/>
        <item x="21"/>
        <item x="19"/>
        <item x="15"/>
        <item x="0"/>
        <item x="22"/>
        <item x="5"/>
        <item x="3"/>
        <item x="11"/>
        <item x="13"/>
        <item x="8"/>
        <item x="14"/>
        <item x="9"/>
        <item x="4"/>
        <item x="10"/>
        <item x="12"/>
        <item x="1"/>
        <item x="2"/>
        <item t="default"/>
      </items>
    </pivotField>
    <pivotField showAll="0"/>
    <pivotField numFmtId="1" showAll="0"/>
    <pivotField showAll="0">
      <items count="5">
        <item x="0"/>
        <item x="1"/>
        <item x="3"/>
        <item x="2"/>
        <item t="default"/>
      </items>
    </pivotField>
    <pivotField showAll="0">
      <items count="4">
        <item x="2"/>
        <item x="1"/>
        <item x="0"/>
        <item t="default"/>
      </items>
    </pivotField>
  </pivotFields>
  <rowItems count="1">
    <i/>
  </rowItems>
  <colFields count="1">
    <field x="-2"/>
  </colFields>
  <colItems count="4">
    <i>
      <x/>
    </i>
    <i i="1">
      <x v="1"/>
    </i>
    <i i="2">
      <x v="2"/>
    </i>
    <i i="3">
      <x v="3"/>
    </i>
  </colItems>
  <dataFields count="4">
    <dataField name="Average of Current price" fld="1" subtotal="average" baseField="0" baseItem="0" numFmtId="1"/>
    <dataField name="Average of old price" fld="2" subtotal="average" baseField="0" baseItem="1" numFmtId="1"/>
    <dataField name="Average of Discount" fld="3" subtotal="average" baseField="0" baseItem="1" numFmtId="9"/>
    <dataField name="Average of Ratings" fld="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879800-3D60-434D-A7A4-FDBC4CA2B6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0">
    <pivotField showAll="0"/>
    <pivotField numFmtId="1" showAll="0"/>
    <pivotField numFmtId="1" showAll="0"/>
    <pivotField dataField="1" numFmtId="9" showAll="0"/>
    <pivotField showAll="0"/>
    <pivotField dataField="1" showAll="0">
      <items count="24">
        <item x="18"/>
        <item x="7"/>
        <item x="17"/>
        <item x="16"/>
        <item x="6"/>
        <item x="20"/>
        <item x="21"/>
        <item x="19"/>
        <item x="15"/>
        <item x="0"/>
        <item x="22"/>
        <item x="5"/>
        <item x="3"/>
        <item x="11"/>
        <item x="13"/>
        <item x="8"/>
        <item x="14"/>
        <item x="9"/>
        <item x="4"/>
        <item x="10"/>
        <item x="12"/>
        <item x="1"/>
        <item x="2"/>
        <item t="default"/>
      </items>
    </pivotField>
    <pivotField showAll="0"/>
    <pivotField numFmtId="1" showAll="0"/>
    <pivotField showAll="0">
      <items count="5">
        <item x="0"/>
        <item x="1"/>
        <item x="3"/>
        <item x="2"/>
        <item t="default"/>
      </items>
    </pivotField>
    <pivotField axis="axisRow" showAll="0">
      <items count="4">
        <item x="2"/>
        <item x="1"/>
        <item x="0"/>
        <item t="default"/>
      </items>
    </pivotField>
  </pivotFields>
  <rowFields count="1">
    <field x="9"/>
  </rowFields>
  <rowItems count="4">
    <i>
      <x/>
    </i>
    <i>
      <x v="1"/>
    </i>
    <i>
      <x v="2"/>
    </i>
    <i t="grand">
      <x/>
    </i>
  </rowItems>
  <colFields count="1">
    <field x="-2"/>
  </colFields>
  <colItems count="2">
    <i>
      <x/>
    </i>
    <i i="1">
      <x v="1"/>
    </i>
  </colItems>
  <dataFields count="2">
    <dataField name="Average of Discount" fld="3" subtotal="average" baseField="9" baseItem="0" numFmtId="9"/>
    <dataField name="Average of Ratings" fld="5"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BA68F1-B0FF-4EF0-BD12-AEA091376F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0">
    <pivotField dataField="1" showAll="0">
      <items count="110">
        <item h="1" x="22"/>
        <item h="1" x="57"/>
        <item h="1" x="63"/>
        <item x="43"/>
        <item h="1" x="60"/>
        <item h="1" x="86"/>
        <item h="1" x="6"/>
        <item h="1" x="33"/>
        <item h="1" x="8"/>
        <item h="1" x="102"/>
        <item h="1" x="28"/>
        <item h="1" x="3"/>
        <item h="1" x="19"/>
        <item h="1" x="48"/>
        <item h="1" x="47"/>
        <item h="1" x="71"/>
        <item h="1" x="0"/>
        <item h="1" x="54"/>
        <item h="1" x="56"/>
        <item h="1" x="73"/>
        <item h="1" x="108"/>
        <item h="1" x="97"/>
        <item h="1" x="77"/>
        <item h="1" x="83"/>
        <item h="1" x="20"/>
        <item h="1" x="12"/>
        <item h="1" x="24"/>
        <item h="1" x="17"/>
        <item h="1" x="18"/>
        <item h="1" x="40"/>
        <item h="1" x="14"/>
        <item h="1" x="101"/>
        <item h="1" x="64"/>
        <item h="1" x="49"/>
        <item h="1" x="99"/>
        <item h="1" x="62"/>
        <item h="1" x="53"/>
        <item h="1" x="42"/>
        <item h="1" x="89"/>
        <item h="1" x="69"/>
        <item h="1" x="91"/>
        <item h="1" x="58"/>
        <item h="1" x="79"/>
        <item h="1" x="76"/>
        <item h="1" x="61"/>
        <item h="1" x="106"/>
        <item h="1" x="94"/>
        <item h="1" x="74"/>
        <item h="1" x="96"/>
        <item h="1" x="50"/>
        <item h="1" x="55"/>
        <item h="1" x="72"/>
        <item h="1" x="105"/>
        <item h="1" x="100"/>
        <item h="1" x="26"/>
        <item h="1" x="68"/>
        <item h="1" x="59"/>
        <item h="1" x="32"/>
        <item h="1" x="35"/>
        <item h="1" x="87"/>
        <item h="1" x="104"/>
        <item h="1" x="31"/>
        <item h="1" x="67"/>
        <item h="1" x="92"/>
        <item h="1" x="93"/>
        <item h="1" x="1"/>
        <item h="1" x="9"/>
        <item h="1" x="15"/>
        <item h="1" x="16"/>
        <item h="1" x="81"/>
        <item h="1" x="45"/>
        <item h="1" x="7"/>
        <item h="1" x="21"/>
        <item h="1" x="65"/>
        <item h="1" x="52"/>
        <item h="1" x="4"/>
        <item h="1" x="51"/>
        <item h="1" x="78"/>
        <item h="1" x="2"/>
        <item h="1" x="98"/>
        <item h="1" x="27"/>
        <item h="1" x="75"/>
        <item h="1" x="10"/>
        <item h="1" x="41"/>
        <item h="1" x="84"/>
        <item h="1" x="38"/>
        <item h="1" x="70"/>
        <item h="1" x="103"/>
        <item h="1" x="29"/>
        <item h="1" x="95"/>
        <item h="1" x="25"/>
        <item h="1" x="11"/>
        <item h="1" x="39"/>
        <item h="1" x="5"/>
        <item h="1" x="44"/>
        <item h="1" x="88"/>
        <item h="1" x="107"/>
        <item h="1" x="13"/>
        <item h="1" x="30"/>
        <item h="1" x="82"/>
        <item h="1" x="23"/>
        <item h="1" x="46"/>
        <item h="1" x="66"/>
        <item h="1" x="36"/>
        <item h="1" x="85"/>
        <item h="1" x="37"/>
        <item h="1" x="90"/>
        <item h="1" x="34"/>
        <item h="1" x="80"/>
        <item t="default"/>
      </items>
    </pivotField>
    <pivotField numFmtId="1" showAll="0"/>
    <pivotField numFmtId="1" showAll="0"/>
    <pivotField numFmtId="9" showAll="0"/>
    <pivotField showAll="0"/>
    <pivotField showAll="0"/>
    <pivotField showAll="0"/>
    <pivotField numFmtId="1" showAll="0"/>
    <pivotField axis="axisRow" showAll="0">
      <items count="5">
        <item x="0"/>
        <item x="1"/>
        <item x="3"/>
        <item x="2"/>
        <item t="default"/>
      </items>
    </pivotField>
    <pivotField showAll="0">
      <items count="4">
        <item x="2"/>
        <item x="1"/>
        <item x="0"/>
        <item t="default"/>
      </items>
    </pivotField>
  </pivotFields>
  <rowFields count="1">
    <field x="8"/>
  </rowFields>
  <rowItems count="5">
    <i>
      <x/>
    </i>
    <i>
      <x v="1"/>
    </i>
    <i>
      <x v="2"/>
    </i>
    <i>
      <x v="3"/>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F92669-1221-4768-875F-601732075C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 firstHeaderRow="1" firstDataRow="1" firstDataCol="1"/>
  <pivotFields count="10">
    <pivotField showAll="0"/>
    <pivotField numFmtId="1" showAll="0"/>
    <pivotField numFmtId="1" showAll="0"/>
    <pivotField axis="axisRow" numFmtId="9" showAll="0">
      <items count="47">
        <item x="17"/>
        <item x="13"/>
        <item x="31"/>
        <item x="2"/>
        <item x="28"/>
        <item x="3"/>
        <item x="39"/>
        <item x="12"/>
        <item x="29"/>
        <item x="5"/>
        <item x="4"/>
        <item x="38"/>
        <item x="1"/>
        <item x="34"/>
        <item x="23"/>
        <item x="8"/>
        <item x="11"/>
        <item x="21"/>
        <item x="6"/>
        <item x="9"/>
        <item x="20"/>
        <item x="33"/>
        <item x="22"/>
        <item x="36"/>
        <item x="37"/>
        <item x="30"/>
        <item x="26"/>
        <item x="7"/>
        <item x="0"/>
        <item x="24"/>
        <item x="32"/>
        <item x="18"/>
        <item x="40"/>
        <item x="25"/>
        <item x="10"/>
        <item x="27"/>
        <item x="19"/>
        <item x="16"/>
        <item x="35"/>
        <item x="41"/>
        <item x="42"/>
        <item x="45"/>
        <item x="15"/>
        <item x="14"/>
        <item x="43"/>
        <item x="44"/>
        <item t="default"/>
      </items>
    </pivotField>
    <pivotField showAll="0">
      <items count="25">
        <item x="20"/>
        <item x="5"/>
        <item x="21"/>
        <item x="17"/>
        <item x="18"/>
        <item x="22"/>
        <item x="11"/>
        <item x="6"/>
        <item x="12"/>
        <item x="23"/>
        <item x="16"/>
        <item x="3"/>
        <item x="15"/>
        <item x="8"/>
        <item x="4"/>
        <item x="19"/>
        <item x="13"/>
        <item x="9"/>
        <item x="7"/>
        <item x="0"/>
        <item x="10"/>
        <item x="14"/>
        <item x="1"/>
        <item x="2"/>
        <item t="default"/>
      </items>
    </pivotField>
    <pivotField showAll="0"/>
    <pivotField dataField="1" showAll="0">
      <items count="25">
        <item x="1"/>
        <item x="14"/>
        <item x="10"/>
        <item x="0"/>
        <item x="7"/>
        <item x="9"/>
        <item x="13"/>
        <item x="19"/>
        <item x="4"/>
        <item x="8"/>
        <item x="15"/>
        <item x="3"/>
        <item x="16"/>
        <item x="23"/>
        <item x="12"/>
        <item x="6"/>
        <item x="11"/>
        <item x="22"/>
        <item x="18"/>
        <item x="17"/>
        <item x="21"/>
        <item x="5"/>
        <item x="20"/>
        <item x="2"/>
        <item t="default"/>
      </items>
    </pivotField>
    <pivotField numFmtId="1" showAll="0"/>
    <pivotField showAll="0">
      <items count="5">
        <item x="0"/>
        <item x="1"/>
        <item x="3"/>
        <item x="2"/>
        <item t="default"/>
      </items>
    </pivotField>
    <pivotField showAll="0">
      <items count="4">
        <item x="2"/>
        <item x="1"/>
        <item x="0"/>
        <item t="default"/>
      </items>
    </pivotField>
  </pivotFields>
  <rowFields count="1">
    <field x="3"/>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Count of Positive Review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575372-FDF0-4F68-9DBC-90056AFDD2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7" firstHeaderRow="1" firstDataRow="1" firstDataCol="1"/>
  <pivotFields count="10">
    <pivotField showAll="0"/>
    <pivotField numFmtId="1" showAll="0"/>
    <pivotField numFmtId="1" showAll="0"/>
    <pivotField numFmtId="9" showAll="0"/>
    <pivotField showAll="0"/>
    <pivotField axis="axisRow" showAll="0">
      <items count="24">
        <item x="18"/>
        <item x="7"/>
        <item x="17"/>
        <item x="16"/>
        <item x="6"/>
        <item x="20"/>
        <item x="21"/>
        <item x="19"/>
        <item x="15"/>
        <item x="0"/>
        <item x="22"/>
        <item x="5"/>
        <item x="3"/>
        <item x="11"/>
        <item x="13"/>
        <item x="8"/>
        <item x="14"/>
        <item x="9"/>
        <item x="4"/>
        <item x="10"/>
        <item x="12"/>
        <item x="1"/>
        <item x="2"/>
        <item t="default"/>
      </items>
    </pivotField>
    <pivotField dataField="1" showAll="0">
      <items count="25">
        <item x="1"/>
        <item x="14"/>
        <item x="10"/>
        <item x="0"/>
        <item x="7"/>
        <item x="9"/>
        <item x="13"/>
        <item x="19"/>
        <item x="4"/>
        <item x="8"/>
        <item x="15"/>
        <item x="3"/>
        <item x="16"/>
        <item x="23"/>
        <item x="12"/>
        <item x="6"/>
        <item x="11"/>
        <item x="22"/>
        <item x="18"/>
        <item x="17"/>
        <item x="21"/>
        <item x="5"/>
        <item x="20"/>
        <item x="2"/>
        <item t="default"/>
      </items>
    </pivotField>
    <pivotField numFmtId="1" showAll="0"/>
    <pivotField showAll="0">
      <items count="5">
        <item x="0"/>
        <item x="1"/>
        <item x="3"/>
        <item x="2"/>
        <item t="default"/>
      </items>
    </pivotField>
    <pivotField showAll="0">
      <items count="4">
        <item x="2"/>
        <item x="1"/>
        <item x="0"/>
        <item t="default"/>
      </items>
    </pivotField>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Count of Positive Reviews" fld="6"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DF3944-3A4E-471F-AF29-C02119E6D28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0" firstHeaderRow="1" firstDataRow="1" firstDataCol="1"/>
  <pivotFields count="10">
    <pivotField showAll="0"/>
    <pivotField numFmtId="1" showAll="0"/>
    <pivotField numFmtId="1" showAll="0"/>
    <pivotField axis="axisRow" numFmtId="9" showAll="0">
      <items count="47">
        <item x="17"/>
        <item x="13"/>
        <item x="31"/>
        <item x="2"/>
        <item x="28"/>
        <item x="3"/>
        <item x="39"/>
        <item x="12"/>
        <item x="29"/>
        <item x="5"/>
        <item x="4"/>
        <item x="38"/>
        <item x="1"/>
        <item x="34"/>
        <item x="23"/>
        <item x="8"/>
        <item x="11"/>
        <item x="21"/>
        <item x="6"/>
        <item x="9"/>
        <item x="20"/>
        <item x="33"/>
        <item x="22"/>
        <item x="36"/>
        <item x="37"/>
        <item x="30"/>
        <item x="26"/>
        <item x="7"/>
        <item x="0"/>
        <item x="24"/>
        <item x="32"/>
        <item x="18"/>
        <item x="40"/>
        <item x="25"/>
        <item x="10"/>
        <item x="27"/>
        <item x="19"/>
        <item x="16"/>
        <item x="35"/>
        <item x="41"/>
        <item x="42"/>
        <item x="45"/>
        <item x="15"/>
        <item x="14"/>
        <item x="43"/>
        <item x="44"/>
        <item t="default"/>
      </items>
    </pivotField>
    <pivotField showAll="0">
      <items count="25">
        <item x="20"/>
        <item x="5"/>
        <item x="21"/>
        <item x="17"/>
        <item x="18"/>
        <item x="22"/>
        <item x="11"/>
        <item x="6"/>
        <item x="12"/>
        <item x="23"/>
        <item x="16"/>
        <item x="3"/>
        <item x="15"/>
        <item x="8"/>
        <item x="4"/>
        <item x="19"/>
        <item x="13"/>
        <item x="9"/>
        <item x="7"/>
        <item x="0"/>
        <item x="10"/>
        <item x="14"/>
        <item x="1"/>
        <item x="2"/>
        <item t="default"/>
      </items>
    </pivotField>
    <pivotField showAll="0"/>
    <pivotField dataField="1" showAll="0">
      <items count="25">
        <item x="1"/>
        <item x="14"/>
        <item x="10"/>
        <item x="0"/>
        <item x="7"/>
        <item x="9"/>
        <item x="13"/>
        <item x="19"/>
        <item x="4"/>
        <item x="8"/>
        <item x="15"/>
        <item x="3"/>
        <item x="16"/>
        <item x="23"/>
        <item x="12"/>
        <item x="6"/>
        <item x="11"/>
        <item x="22"/>
        <item x="18"/>
        <item x="17"/>
        <item x="21"/>
        <item x="5"/>
        <item x="20"/>
        <item x="2"/>
        <item t="default"/>
      </items>
    </pivotField>
    <pivotField numFmtId="1" showAll="0"/>
    <pivotField showAll="0">
      <items count="5">
        <item x="0"/>
        <item x="1"/>
        <item x="3"/>
        <item x="2"/>
        <item t="default"/>
      </items>
    </pivotField>
    <pivotField showAll="0">
      <items count="4">
        <item x="2"/>
        <item x="1"/>
        <item x="0"/>
        <item t="default"/>
      </items>
    </pivotField>
  </pivotFields>
  <rowFields count="1">
    <field x="3"/>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Count of Positive Reviews" fld="6" subtotal="count" baseField="0" baseItem="0"/>
  </dataFields>
  <chartFormats count="2">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288C88-338C-43C7-B82B-6FA763476DE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showAll="0"/>
    <pivotField numFmtId="1" showAll="0"/>
    <pivotField numFmtId="1" showAll="0"/>
    <pivotField numFmtId="9" showAll="0"/>
    <pivotField showAll="0"/>
    <pivotField showAll="0"/>
    <pivotField dataField="1" showAll="0">
      <items count="25">
        <item x="1"/>
        <item x="14"/>
        <item x="10"/>
        <item x="0"/>
        <item x="7"/>
        <item x="9"/>
        <item x="13"/>
        <item x="19"/>
        <item x="4"/>
        <item x="8"/>
        <item x="15"/>
        <item x="3"/>
        <item x="16"/>
        <item x="23"/>
        <item x="12"/>
        <item x="6"/>
        <item x="11"/>
        <item x="22"/>
        <item x="18"/>
        <item x="17"/>
        <item x="21"/>
        <item x="5"/>
        <item x="20"/>
        <item x="2"/>
        <item t="default"/>
      </items>
    </pivotField>
    <pivotField numFmtId="1" showAll="0"/>
    <pivotField axis="axisRow" showAll="0">
      <items count="5">
        <item x="0"/>
        <item x="1"/>
        <item x="3"/>
        <item x="2"/>
        <item t="default"/>
      </items>
    </pivotField>
    <pivotField showAll="0">
      <items count="4">
        <item x="2"/>
        <item x="1"/>
        <item x="0"/>
        <item t="default"/>
      </items>
    </pivotField>
  </pivotFields>
  <rowFields count="1">
    <field x="8"/>
  </rowFields>
  <rowItems count="5">
    <i>
      <x/>
    </i>
    <i>
      <x v="1"/>
    </i>
    <i>
      <x v="2"/>
    </i>
    <i>
      <x v="3"/>
    </i>
    <i t="grand">
      <x/>
    </i>
  </rowItems>
  <colItems count="1">
    <i/>
  </colItems>
  <dataFields count="1">
    <dataField name="Count of Positive Review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4D36EE-B60A-4506-98DE-C74EC7CF390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0">
    <pivotField axis="axisRow" showAll="0" measureFilter="1">
      <items count="110">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pivotField>
    <pivotField numFmtId="1" showAll="0"/>
    <pivotField numFmtId="1" showAll="0"/>
    <pivotField dataField="1" numFmtId="9" showAll="0"/>
    <pivotField showAll="0"/>
    <pivotField showAll="0"/>
    <pivotField showAll="0"/>
    <pivotField numFmtId="1" showAll="0"/>
    <pivotField showAll="0">
      <items count="5">
        <item x="0"/>
        <item x="1"/>
        <item x="3"/>
        <item x="2"/>
        <item t="default"/>
      </items>
    </pivotField>
    <pivotField showAll="0">
      <items count="4">
        <item x="2"/>
        <item x="1"/>
        <item x="0"/>
        <item t="default"/>
      </items>
    </pivotField>
  </pivotFields>
  <rowFields count="1">
    <field x="0"/>
  </rowFields>
  <rowItems count="11">
    <i>
      <x v="20"/>
    </i>
    <i>
      <x v="30"/>
    </i>
    <i>
      <x v="31"/>
    </i>
    <i>
      <x v="52"/>
    </i>
    <i>
      <x v="53"/>
    </i>
    <i>
      <x v="60"/>
    </i>
    <i>
      <x v="64"/>
    </i>
    <i>
      <x v="67"/>
    </i>
    <i>
      <x v="70"/>
    </i>
    <i>
      <x v="84"/>
    </i>
    <i t="grand">
      <x/>
    </i>
  </rowItems>
  <colItems count="1">
    <i/>
  </colItems>
  <dataFields count="1">
    <dataField name="Max of Discount" fld="3" subtotal="max" baseField="0"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48B724-E953-4BCD-8125-AC9482F68D9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0">
    <pivotField axis="axisRow" showAll="0" measureFilter="1">
      <items count="110">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pivotField>
    <pivotField numFmtId="1" showAll="0"/>
    <pivotField numFmtId="1" showAll="0"/>
    <pivotField numFmtId="9" showAll="0"/>
    <pivotField showAll="0"/>
    <pivotField showAll="0"/>
    <pivotField dataField="1" showAll="0">
      <items count="25">
        <item x="1"/>
        <item x="14"/>
        <item x="10"/>
        <item x="0"/>
        <item x="7"/>
        <item x="9"/>
        <item x="13"/>
        <item x="19"/>
        <item x="4"/>
        <item x="8"/>
        <item x="15"/>
        <item x="3"/>
        <item x="16"/>
        <item x="23"/>
        <item x="12"/>
        <item x="6"/>
        <item x="11"/>
        <item x="22"/>
        <item x="18"/>
        <item x="17"/>
        <item x="21"/>
        <item x="5"/>
        <item x="20"/>
        <item x="2"/>
        <item t="default"/>
      </items>
    </pivotField>
    <pivotField numFmtId="1" showAll="0"/>
    <pivotField showAll="0">
      <items count="5">
        <item x="0"/>
        <item x="1"/>
        <item x="3"/>
        <item x="2"/>
        <item t="default"/>
      </items>
    </pivotField>
    <pivotField showAll="0">
      <items count="4">
        <item x="2"/>
        <item x="1"/>
        <item x="0"/>
        <item t="default"/>
      </items>
    </pivotField>
  </pivotFields>
  <rowFields count="1">
    <field x="0"/>
  </rowFields>
  <rowItems count="11">
    <i>
      <x v="1"/>
    </i>
    <i>
      <x v="5"/>
    </i>
    <i>
      <x v="8"/>
    </i>
    <i>
      <x v="18"/>
    </i>
    <i>
      <x v="26"/>
    </i>
    <i>
      <x v="27"/>
    </i>
    <i>
      <x v="28"/>
    </i>
    <i>
      <x v="59"/>
    </i>
    <i>
      <x v="91"/>
    </i>
    <i>
      <x v="95"/>
    </i>
    <i t="grand">
      <x/>
    </i>
  </rowItems>
  <colItems count="1">
    <i/>
  </colItems>
  <dataFields count="1">
    <dataField name="Sum of Positive Reviews" fld="6"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70A183-9F57-42AA-BFAC-82A6270C01C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1" firstHeaderRow="1" firstDataRow="1" firstDataCol="1"/>
  <pivotFields count="10">
    <pivotField axis="axisRow" showAll="0" measureFilter="1" sortType="descending">
      <items count="110">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pivotField showAll="0"/>
    <pivotField dataField="1" showAll="0">
      <items count="24">
        <item x="18"/>
        <item x="7"/>
        <item x="17"/>
        <item x="16"/>
        <item x="6"/>
        <item x="20"/>
        <item x="21"/>
        <item x="19"/>
        <item x="15"/>
        <item x="0"/>
        <item x="22"/>
        <item x="5"/>
        <item x="3"/>
        <item x="11"/>
        <item x="13"/>
        <item x="8"/>
        <item x="14"/>
        <item x="9"/>
        <item x="4"/>
        <item x="10"/>
        <item x="12"/>
        <item x="1"/>
        <item x="2"/>
        <item t="default"/>
      </items>
    </pivotField>
    <pivotField showAll="0"/>
    <pivotField numFmtId="1" showAll="0"/>
    <pivotField showAll="0">
      <items count="5">
        <item x="0"/>
        <item x="1"/>
        <item x="3"/>
        <item x="2"/>
        <item t="default"/>
      </items>
    </pivotField>
    <pivotField showAll="0">
      <items count="4">
        <item x="2"/>
        <item x="1"/>
        <item x="0"/>
        <item t="default"/>
      </items>
    </pivotField>
  </pivotFields>
  <rowFields count="1">
    <field x="0"/>
  </rowFields>
  <rowItems count="8">
    <i>
      <x v="40"/>
    </i>
    <i>
      <x v="68"/>
    </i>
    <i>
      <x v="65"/>
    </i>
    <i>
      <x v="44"/>
    </i>
    <i>
      <x v="87"/>
    </i>
    <i>
      <x v="52"/>
    </i>
    <i>
      <x v="57"/>
    </i>
    <i t="grand">
      <x/>
    </i>
  </rowItems>
  <colItems count="1">
    <i/>
  </colItems>
  <dataFields count="1">
    <dataField name="Max of Ratings" fld="5" subtotal="max"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E11DF0-DDF0-4C20-B871-034E9D8C834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6" firstHeaderRow="1" firstDataRow="1" firstDataCol="1"/>
  <pivotFields count="10">
    <pivotField axis="axisRow" showAll="0" measureFilter="1" sortType="ascending">
      <items count="110">
        <item x="22"/>
        <item x="57"/>
        <item x="63"/>
        <item x="43"/>
        <item x="60"/>
        <item x="86"/>
        <item x="6"/>
        <item x="33"/>
        <item x="8"/>
        <item x="102"/>
        <item x="28"/>
        <item x="3"/>
        <item x="19"/>
        <item x="48"/>
        <item x="47"/>
        <item x="71"/>
        <item x="0"/>
        <item x="54"/>
        <item x="56"/>
        <item x="73"/>
        <item x="108"/>
        <item x="97"/>
        <item x="77"/>
        <item x="83"/>
        <item x="20"/>
        <item x="12"/>
        <item x="24"/>
        <item x="17"/>
        <item x="18"/>
        <item x="40"/>
        <item x="14"/>
        <item x="101"/>
        <item x="64"/>
        <item x="49"/>
        <item x="99"/>
        <item x="62"/>
        <item x="53"/>
        <item x="42"/>
        <item x="89"/>
        <item x="69"/>
        <item x="91"/>
        <item x="58"/>
        <item x="79"/>
        <item x="76"/>
        <item x="61"/>
        <item x="106"/>
        <item x="94"/>
        <item x="74"/>
        <item x="96"/>
        <item x="50"/>
        <item x="55"/>
        <item x="72"/>
        <item x="105"/>
        <item x="100"/>
        <item x="26"/>
        <item x="68"/>
        <item x="59"/>
        <item x="32"/>
        <item x="35"/>
        <item x="87"/>
        <item x="104"/>
        <item x="31"/>
        <item x="67"/>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pivotField showAll="0"/>
    <pivotField dataField="1" showAll="0">
      <items count="24">
        <item x="18"/>
        <item x="7"/>
        <item x="17"/>
        <item x="16"/>
        <item x="6"/>
        <item x="20"/>
        <item x="21"/>
        <item x="19"/>
        <item x="15"/>
        <item x="0"/>
        <item x="22"/>
        <item x="5"/>
        <item x="3"/>
        <item x="11"/>
        <item x="13"/>
        <item x="8"/>
        <item x="14"/>
        <item x="9"/>
        <item x="4"/>
        <item x="10"/>
        <item x="12"/>
        <item x="1"/>
        <item x="2"/>
        <item t="default"/>
      </items>
    </pivotField>
    <pivotField showAll="0"/>
    <pivotField numFmtId="1" showAll="0"/>
    <pivotField showAll="0">
      <items count="5">
        <item x="0"/>
        <item x="1"/>
        <item x="3"/>
        <item x="2"/>
        <item t="default"/>
      </items>
    </pivotField>
    <pivotField showAll="0">
      <items count="4">
        <item x="2"/>
        <item x="1"/>
        <item x="0"/>
        <item t="default"/>
      </items>
    </pivotField>
  </pivotFields>
  <rowFields count="1">
    <field x="0"/>
  </rowFields>
  <rowItems count="53">
    <i>
      <x v="49"/>
    </i>
    <i>
      <x v="50"/>
    </i>
    <i>
      <x v="9"/>
    </i>
    <i>
      <x v="51"/>
    </i>
    <i>
      <x v="12"/>
    </i>
    <i>
      <x v="53"/>
    </i>
    <i>
      <x v="14"/>
    </i>
    <i>
      <x v="54"/>
    </i>
    <i>
      <x v="19"/>
    </i>
    <i>
      <x v="55"/>
    </i>
    <i>
      <x v="23"/>
    </i>
    <i>
      <x v="71"/>
    </i>
    <i>
      <x v="29"/>
    </i>
    <i>
      <x v="74"/>
    </i>
    <i>
      <x v="32"/>
    </i>
    <i>
      <x v="78"/>
    </i>
    <i>
      <x v="34"/>
    </i>
    <i>
      <x v="79"/>
    </i>
    <i>
      <x v="37"/>
    </i>
    <i>
      <x v="81"/>
    </i>
    <i>
      <x v="42"/>
    </i>
    <i>
      <x v="82"/>
    </i>
    <i>
      <x v="45"/>
    </i>
    <i>
      <x v="83"/>
    </i>
    <i>
      <x v="47"/>
    </i>
    <i>
      <x v="85"/>
    </i>
    <i>
      <x v="6"/>
    </i>
    <i>
      <x v="86"/>
    </i>
    <i>
      <x v="13"/>
    </i>
    <i>
      <x v="88"/>
    </i>
    <i>
      <x v="21"/>
    </i>
    <i>
      <x v="89"/>
    </i>
    <i>
      <x v="31"/>
    </i>
    <i>
      <x v="92"/>
    </i>
    <i>
      <x v="36"/>
    </i>
    <i>
      <x v="94"/>
    </i>
    <i>
      <x v="43"/>
    </i>
    <i>
      <x v="96"/>
    </i>
    <i>
      <x v="48"/>
    </i>
    <i>
      <x v="97"/>
    </i>
    <i>
      <x v="15"/>
    </i>
    <i>
      <x v="98"/>
    </i>
    <i>
      <x v="33"/>
    </i>
    <i>
      <x v="99"/>
    </i>
    <i>
      <x v="46"/>
    </i>
    <i>
      <x v="100"/>
    </i>
    <i>
      <x v="24"/>
    </i>
    <i>
      <x v="102"/>
    </i>
    <i>
      <x v="10"/>
    </i>
    <i>
      <x v="103"/>
    </i>
    <i>
      <x v="39"/>
    </i>
    <i>
      <x v="105"/>
    </i>
    <i t="grand">
      <x/>
    </i>
  </rowItems>
  <colItems count="1">
    <i/>
  </colItems>
  <dataFields count="1">
    <dataField name="Max of Ratings" fld="5" subtotal="max" baseField="0" baseItem="0"/>
  </dataField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8FC326D-959A-4AA3-A0F3-C024C76A45A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0">
    <pivotField showAll="0"/>
    <pivotField numFmtId="1" showAll="0"/>
    <pivotField numFmtId="1" showAll="0"/>
    <pivotField numFmtId="9" showAll="0"/>
    <pivotField showAll="0"/>
    <pivotField dataField="1" showAll="0">
      <items count="24">
        <item x="18"/>
        <item x="7"/>
        <item x="17"/>
        <item x="16"/>
        <item x="6"/>
        <item x="20"/>
        <item x="21"/>
        <item x="19"/>
        <item x="15"/>
        <item x="0"/>
        <item x="22"/>
        <item x="5"/>
        <item x="3"/>
        <item x="11"/>
        <item x="13"/>
        <item x="8"/>
        <item x="14"/>
        <item x="9"/>
        <item x="4"/>
        <item x="10"/>
        <item x="12"/>
        <item x="1"/>
        <item x="2"/>
        <item t="default"/>
      </items>
    </pivotField>
    <pivotField dataField="1" showAll="0">
      <items count="25">
        <item x="1"/>
        <item x="14"/>
        <item x="10"/>
        <item x="0"/>
        <item x="7"/>
        <item x="9"/>
        <item x="13"/>
        <item x="19"/>
        <item x="4"/>
        <item x="8"/>
        <item x="15"/>
        <item x="3"/>
        <item x="16"/>
        <item x="23"/>
        <item x="12"/>
        <item x="6"/>
        <item x="11"/>
        <item x="22"/>
        <item x="18"/>
        <item x="17"/>
        <item x="21"/>
        <item x="5"/>
        <item x="20"/>
        <item x="2"/>
        <item t="default"/>
      </items>
    </pivotField>
    <pivotField numFmtId="1" showAll="0"/>
    <pivotField showAll="0">
      <items count="5">
        <item x="0"/>
        <item x="1"/>
        <item x="3"/>
        <item x="2"/>
        <item t="default"/>
      </items>
    </pivotField>
    <pivotField axis="axisRow" showAll="0">
      <items count="4">
        <item x="2"/>
        <item x="1"/>
        <item x="0"/>
        <item t="default"/>
      </items>
    </pivotField>
  </pivotFields>
  <rowFields count="1">
    <field x="9"/>
  </rowFields>
  <rowItems count="4">
    <i>
      <x/>
    </i>
    <i>
      <x v="1"/>
    </i>
    <i>
      <x v="2"/>
    </i>
    <i t="grand">
      <x/>
    </i>
  </rowItems>
  <colFields count="1">
    <field x="-2"/>
  </colFields>
  <colItems count="2">
    <i>
      <x/>
    </i>
    <i i="1">
      <x v="1"/>
    </i>
  </colItems>
  <dataFields count="2">
    <dataField name="Count of Positive Reviews" fld="6" subtotal="count" baseField="0" baseItem="0"/>
    <dataField name="Average of Ratings" fld="5"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7AED5DDC-D254-4903-99E7-1DB080D16D08}" sourceName="Rating Category">
  <pivotTables>
    <pivotTable tabId="4" name="PivotTable2"/>
    <pivotTable tabId="3" name="PivotTable1"/>
    <pivotTable tabId="5" name="PivotTable3"/>
    <pivotTable tabId="15" name="PivotTable14"/>
    <pivotTable tabId="9" name="PivotTable7"/>
    <pivotTable tabId="7" name="PivotTable5"/>
    <pivotTable tabId="16" name="PivotTable15"/>
    <pivotTable tabId="10" name="PivotTable8"/>
    <pivotTable tabId="8" name="PivotTable6"/>
    <pivotTable tabId="11" name="PivotTable9"/>
    <pivotTable tabId="12" name="PivotTable10"/>
    <pivotTable tabId="13" name="PivotTable11"/>
    <pivotTable tabId="17" name="PivotTable1"/>
  </pivotTables>
  <data>
    <tabular pivotCacheId="1341957953">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72655091-8E60-4998-8190-F6831E657D5E}" sourceName="Discount Category">
  <pivotTables>
    <pivotTable tabId="21" name="PivotTable2"/>
    <pivotTable tabId="3" name="PivotTable1"/>
    <pivotTable tabId="5" name="PivotTable3"/>
    <pivotTable tabId="15" name="PivotTable14"/>
    <pivotTable tabId="9" name="PivotTable7"/>
    <pivotTable tabId="7" name="PivotTable5"/>
    <pivotTable tabId="16" name="PivotTable15"/>
    <pivotTable tabId="10" name="PivotTable8"/>
    <pivotTable tabId="4" name="PivotTable2"/>
    <pivotTable tabId="8" name="PivotTable6"/>
    <pivotTable tabId="11" name="PivotTable9"/>
    <pivotTable tabId="12" name="PivotTable10"/>
    <pivotTable tabId="13" name="PivotTable11"/>
    <pivotTable tabId="17" name="PivotTable1"/>
  </pivotTables>
  <data>
    <tabular pivotCacheId="134195795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D4DB274E-305D-4921-A49B-5A022D1B679C}" cache="Slicer_Discount_Category" caption="Discount 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6818FD73-667B-4803-B917-611CF6014C5E}" cache="Slicer_Rating_Category" caption="Rating 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D82C73A3-914D-4DA5-AD39-C489EEF02803}" cache="Slicer_Rating_Category" caption="Rating Category" rowHeight="247650"/>
  <slicer name="Discount Category 1" xr10:uid="{46DD9BBC-E32E-467E-8956-0C910E2EF109}" cache="Slicer_Discount_Category" caption="Discount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D25606-FBAD-4B16-8C1E-FADF8881B186}" name="Table3" displayName="Table3" ref="A1:J111" totalsRowCount="1" headerRowDxfId="8">
  <autoFilter ref="A1:J110" xr:uid="{F2D25606-FBAD-4B16-8C1E-FADF8881B186}"/>
  <sortState xmlns:xlrd2="http://schemas.microsoft.com/office/spreadsheetml/2017/richdata2" ref="A2:J110">
    <sortCondition descending="1" ref="D1:D110"/>
  </sortState>
  <tableColumns count="10">
    <tableColumn id="1" xr3:uid="{C592394E-9252-4618-8902-D3B3AC312682}" name="Product" totalsRowLabel="Total"/>
    <tableColumn id="2" xr3:uid="{75275B9A-1661-4C8F-9971-31A0F8D92A76}" name="Current price" totalsRowFunction="average" dataDxfId="7" totalsRowDxfId="6"/>
    <tableColumn id="3" xr3:uid="{CF87F5D8-ED28-4A1A-B8F1-6908C5EA3BCE}" name="old price" totalsRowFunction="average" dataDxfId="5" totalsRowDxfId="4"/>
    <tableColumn id="4" xr3:uid="{90A975AD-6A09-4EDA-8ED5-8DBF9707D035}" name="Discount" totalsRowFunction="average" dataDxfId="3" totalsRowDxfId="2"/>
    <tableColumn id="5" xr3:uid="{92D8AB84-AAB7-4A34-900B-E38C159C3984}" name="Review"/>
    <tableColumn id="6" xr3:uid="{4FC51074-9236-4402-9424-83314C52E70F}" name="Ratings" totalsRowFunction="average"/>
    <tableColumn id="7" xr3:uid="{5E738533-FA52-4B23-BDFB-4490D852811F}" name="Positive Reviews">
      <calculatedColumnFormula>IFERROR(ABS(E2),E2)</calculatedColumnFormula>
    </tableColumn>
    <tableColumn id="8" xr3:uid="{5AA3065D-4AD3-4F72-9456-67F19BB88CD2}" name="Discount Amount (KSh)" dataDxfId="1">
      <calculatedColumnFormula>C2-B2</calculatedColumnFormula>
    </tableColumn>
    <tableColumn id="9" xr3:uid="{634E516E-8F9A-448C-AF21-1E0115A1F9DC}" name="Rating Category">
      <calculatedColumnFormula>IF(F2="Unknown","Unknown",IF(F2&lt;3,"Poor",IF(F2&lt;=4.4,"Average","Excellent")))</calculatedColumnFormula>
    </tableColumn>
    <tableColumn id="10" xr3:uid="{03B66A4F-49A9-4CA7-A56B-665BD8721213}" name="Discount Category" totalsRowFunction="count">
      <calculatedColumnFormula>IF(D2&lt;20%,"Low Discount",IF(D2&lt;=40%,"Medium Discount","High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CCC5-656A-4111-BF53-5D32404818EE}">
  <dimension ref="A1:J116"/>
  <sheetViews>
    <sheetView workbookViewId="0">
      <pane ySplit="1" topLeftCell="A2" activePane="bottomLeft" state="frozen"/>
      <selection pane="bottomLeft" activeCell="A20" sqref="A20"/>
    </sheetView>
  </sheetViews>
  <sheetFormatPr defaultRowHeight="15" x14ac:dyDescent="0.25"/>
  <cols>
    <col min="1" max="1" width="85.28515625" bestFit="1" customWidth="1"/>
    <col min="2" max="3" width="18.28515625" style="4" bestFit="1" customWidth="1"/>
    <col min="4" max="4" width="10.28515625" style="1" customWidth="1"/>
    <col min="5" max="5" width="8.85546875" customWidth="1"/>
    <col min="6" max="6" width="9.7109375" bestFit="1" customWidth="1"/>
    <col min="7" max="7" width="16.7109375" customWidth="1"/>
    <col min="8" max="8" width="21.85546875" customWidth="1"/>
    <col min="9" max="9" width="15.7109375" customWidth="1"/>
    <col min="10" max="10" width="17.85546875" customWidth="1"/>
  </cols>
  <sheetData>
    <row r="1" spans="1:10" s="2" customFormat="1" x14ac:dyDescent="0.25">
      <c r="A1" s="2" t="s">
        <v>0</v>
      </c>
      <c r="B1" s="3" t="s">
        <v>1</v>
      </c>
      <c r="C1" s="3" t="s">
        <v>2</v>
      </c>
      <c r="D1" s="5" t="s">
        <v>3</v>
      </c>
      <c r="E1" s="2" t="s">
        <v>4</v>
      </c>
      <c r="F1" s="2" t="s">
        <v>115</v>
      </c>
      <c r="G1" s="2" t="s">
        <v>116</v>
      </c>
      <c r="H1" s="2" t="s">
        <v>117</v>
      </c>
      <c r="I1" s="2" t="s">
        <v>118</v>
      </c>
      <c r="J1" s="2" t="s">
        <v>119</v>
      </c>
    </row>
    <row r="2" spans="1:10" x14ac:dyDescent="0.25">
      <c r="A2" t="s">
        <v>111</v>
      </c>
      <c r="B2" s="4">
        <v>199</v>
      </c>
      <c r="C2" s="4">
        <v>553</v>
      </c>
      <c r="D2" s="1">
        <v>0.64</v>
      </c>
      <c r="E2" t="s">
        <v>114</v>
      </c>
      <c r="F2" t="s">
        <v>114</v>
      </c>
      <c r="G2" t="str">
        <f t="shared" ref="G2:G33" si="0">IFERROR(ABS(E2),E2)</f>
        <v>Unknown</v>
      </c>
      <c r="H2" s="4">
        <f t="shared" ref="H2:H33" si="1">C2-B2</f>
        <v>354</v>
      </c>
      <c r="I2" t="str">
        <f t="shared" ref="I2:I33" si="2">IF(F2="Unknown","Unknown",IF(F2&lt;3,"Poor",IF(F2&lt;=4.4,"Average","Excellent")))</f>
        <v>Unknown</v>
      </c>
      <c r="J2" t="str">
        <f t="shared" ref="J2:J33" si="3">IF(D2&lt;20%,"Low Discount",IF(D2&lt;=40%,"Medium Discount","High Discount"))</f>
        <v>High Discount</v>
      </c>
    </row>
    <row r="3" spans="1:10" x14ac:dyDescent="0.25">
      <c r="A3" t="s">
        <v>53</v>
      </c>
      <c r="B3" s="4">
        <v>199</v>
      </c>
      <c r="C3" s="4">
        <v>504</v>
      </c>
      <c r="D3" s="1">
        <v>0.61</v>
      </c>
      <c r="E3" t="s">
        <v>114</v>
      </c>
      <c r="F3" t="s">
        <v>114</v>
      </c>
      <c r="G3" t="str">
        <f t="shared" si="0"/>
        <v>Unknown</v>
      </c>
      <c r="H3" s="4">
        <f t="shared" si="1"/>
        <v>305</v>
      </c>
      <c r="I3" t="str">
        <f t="shared" si="2"/>
        <v>Unknown</v>
      </c>
      <c r="J3" t="str">
        <f t="shared" si="3"/>
        <v>High Discount</v>
      </c>
    </row>
    <row r="4" spans="1:10" x14ac:dyDescent="0.25">
      <c r="A4" t="s">
        <v>13</v>
      </c>
      <c r="B4" s="4">
        <v>1274</v>
      </c>
      <c r="C4" s="4">
        <v>2800</v>
      </c>
      <c r="D4" s="1">
        <v>0.55000000000000004</v>
      </c>
      <c r="E4">
        <v>-5</v>
      </c>
      <c r="F4">
        <v>4.8</v>
      </c>
      <c r="G4">
        <f t="shared" si="0"/>
        <v>5</v>
      </c>
      <c r="H4" s="4">
        <f t="shared" si="1"/>
        <v>1526</v>
      </c>
      <c r="I4" t="str">
        <f t="shared" si="2"/>
        <v>Excellent</v>
      </c>
      <c r="J4" t="str">
        <f t="shared" si="3"/>
        <v>High Discount</v>
      </c>
    </row>
    <row r="5" spans="1:10" x14ac:dyDescent="0.25">
      <c r="A5" t="s">
        <v>65</v>
      </c>
      <c r="B5" s="4">
        <v>2115</v>
      </c>
      <c r="C5" s="4">
        <v>4700</v>
      </c>
      <c r="D5" s="1">
        <v>0.55000000000000004</v>
      </c>
      <c r="E5">
        <v>-13</v>
      </c>
      <c r="F5">
        <v>2.1</v>
      </c>
      <c r="G5">
        <f t="shared" si="0"/>
        <v>13</v>
      </c>
      <c r="H5" s="4">
        <f t="shared" si="1"/>
        <v>2585</v>
      </c>
      <c r="I5" t="str">
        <f t="shared" si="2"/>
        <v>Poor</v>
      </c>
      <c r="J5" t="str">
        <f t="shared" si="3"/>
        <v>High Discount</v>
      </c>
    </row>
    <row r="6" spans="1:10" x14ac:dyDescent="0.25">
      <c r="A6" t="s">
        <v>29</v>
      </c>
      <c r="B6" s="4">
        <v>2048</v>
      </c>
      <c r="C6" s="4">
        <v>4500</v>
      </c>
      <c r="D6" s="1">
        <v>0.54</v>
      </c>
      <c r="E6">
        <v>-7</v>
      </c>
      <c r="F6">
        <v>4.3</v>
      </c>
      <c r="G6">
        <f t="shared" si="0"/>
        <v>7</v>
      </c>
      <c r="H6" s="4">
        <f t="shared" si="1"/>
        <v>2452</v>
      </c>
      <c r="I6" t="str">
        <f t="shared" si="2"/>
        <v>Average</v>
      </c>
      <c r="J6" t="str">
        <f t="shared" si="3"/>
        <v>High Discount</v>
      </c>
    </row>
    <row r="7" spans="1:10" x14ac:dyDescent="0.25">
      <c r="A7" t="s">
        <v>64</v>
      </c>
      <c r="B7" s="4">
        <v>458</v>
      </c>
      <c r="C7" s="4">
        <v>986</v>
      </c>
      <c r="D7" s="1">
        <v>0.54</v>
      </c>
      <c r="E7">
        <v>-10</v>
      </c>
      <c r="F7">
        <v>3</v>
      </c>
      <c r="G7">
        <f t="shared" si="0"/>
        <v>10</v>
      </c>
      <c r="H7" s="4">
        <f t="shared" si="1"/>
        <v>528</v>
      </c>
      <c r="I7" t="str">
        <f t="shared" si="2"/>
        <v>Average</v>
      </c>
      <c r="J7" t="str">
        <f t="shared" si="3"/>
        <v>High Discount</v>
      </c>
    </row>
    <row r="8" spans="1:10" x14ac:dyDescent="0.25">
      <c r="A8" t="s">
        <v>41</v>
      </c>
      <c r="B8" s="4">
        <v>171</v>
      </c>
      <c r="C8" s="4">
        <v>360</v>
      </c>
      <c r="D8" s="1">
        <v>0.53</v>
      </c>
      <c r="E8">
        <v>-2</v>
      </c>
      <c r="F8">
        <v>5</v>
      </c>
      <c r="G8">
        <f t="shared" si="0"/>
        <v>2</v>
      </c>
      <c r="H8" s="4">
        <f t="shared" si="1"/>
        <v>189</v>
      </c>
      <c r="I8" t="str">
        <f t="shared" si="2"/>
        <v>Excellent</v>
      </c>
      <c r="J8" t="str">
        <f t="shared" si="3"/>
        <v>High Discount</v>
      </c>
    </row>
    <row r="9" spans="1:10" x14ac:dyDescent="0.25">
      <c r="A9" t="s">
        <v>25</v>
      </c>
      <c r="B9" s="4">
        <v>38</v>
      </c>
      <c r="C9" s="4">
        <v>80</v>
      </c>
      <c r="D9" s="1">
        <v>0.53</v>
      </c>
      <c r="E9">
        <v>-13</v>
      </c>
      <c r="F9">
        <v>3.3</v>
      </c>
      <c r="G9">
        <f t="shared" si="0"/>
        <v>13</v>
      </c>
      <c r="H9" s="4">
        <f t="shared" si="1"/>
        <v>42</v>
      </c>
      <c r="I9" t="str">
        <f t="shared" si="2"/>
        <v>Average</v>
      </c>
      <c r="J9" t="str">
        <f t="shared" si="3"/>
        <v>High Discount</v>
      </c>
    </row>
    <row r="10" spans="1:10" x14ac:dyDescent="0.25">
      <c r="A10" t="s">
        <v>35</v>
      </c>
      <c r="B10" s="4">
        <v>185</v>
      </c>
      <c r="C10" s="4">
        <v>382</v>
      </c>
      <c r="D10" s="1">
        <v>0.52</v>
      </c>
      <c r="E10">
        <v>-9</v>
      </c>
      <c r="F10">
        <v>4.3</v>
      </c>
      <c r="G10">
        <f t="shared" si="0"/>
        <v>9</v>
      </c>
      <c r="H10" s="4">
        <f t="shared" si="1"/>
        <v>197</v>
      </c>
      <c r="I10" t="str">
        <f t="shared" si="2"/>
        <v>Average</v>
      </c>
      <c r="J10" t="str">
        <f t="shared" si="3"/>
        <v>High Discount</v>
      </c>
    </row>
    <row r="11" spans="1:10" x14ac:dyDescent="0.25">
      <c r="A11" t="s">
        <v>67</v>
      </c>
      <c r="B11" s="4">
        <v>325</v>
      </c>
      <c r="C11" s="4">
        <v>680</v>
      </c>
      <c r="D11" s="1">
        <v>0.52</v>
      </c>
      <c r="E11">
        <v>-15</v>
      </c>
      <c r="F11">
        <v>2.7</v>
      </c>
      <c r="G11">
        <f t="shared" si="0"/>
        <v>15</v>
      </c>
      <c r="H11" s="4">
        <f t="shared" si="1"/>
        <v>355</v>
      </c>
      <c r="I11" t="str">
        <f t="shared" si="2"/>
        <v>Poor</v>
      </c>
      <c r="J11" t="str">
        <f t="shared" si="3"/>
        <v>High Discount</v>
      </c>
    </row>
    <row r="12" spans="1:10" x14ac:dyDescent="0.25">
      <c r="A12" t="s">
        <v>20</v>
      </c>
      <c r="B12" s="4">
        <v>332</v>
      </c>
      <c r="C12" s="4">
        <v>684</v>
      </c>
      <c r="D12" s="1">
        <v>0.51</v>
      </c>
      <c r="E12">
        <v>-2</v>
      </c>
      <c r="F12">
        <v>5</v>
      </c>
      <c r="G12">
        <f t="shared" si="0"/>
        <v>2</v>
      </c>
      <c r="H12" s="4">
        <f t="shared" si="1"/>
        <v>352</v>
      </c>
      <c r="I12" t="str">
        <f t="shared" si="2"/>
        <v>Excellent</v>
      </c>
      <c r="J12" t="str">
        <f t="shared" si="3"/>
        <v>High Discount</v>
      </c>
    </row>
    <row r="13" spans="1:10" x14ac:dyDescent="0.25">
      <c r="A13" t="s">
        <v>112</v>
      </c>
      <c r="B13" s="4">
        <v>450</v>
      </c>
      <c r="C13" s="4">
        <v>900</v>
      </c>
      <c r="D13" s="1">
        <v>0.5</v>
      </c>
      <c r="E13">
        <v>-1</v>
      </c>
      <c r="F13">
        <v>2</v>
      </c>
      <c r="G13">
        <f t="shared" si="0"/>
        <v>1</v>
      </c>
      <c r="H13" s="4">
        <f t="shared" si="1"/>
        <v>450</v>
      </c>
      <c r="I13" t="str">
        <f t="shared" si="2"/>
        <v>Poor</v>
      </c>
      <c r="J13" t="str">
        <f t="shared" si="3"/>
        <v>High Discount</v>
      </c>
    </row>
    <row r="14" spans="1:10" x14ac:dyDescent="0.25">
      <c r="A14" t="s">
        <v>70</v>
      </c>
      <c r="B14" s="4">
        <v>1000</v>
      </c>
      <c r="C14" s="4">
        <v>2000</v>
      </c>
      <c r="D14" s="1">
        <v>0.5</v>
      </c>
      <c r="E14">
        <v>-7</v>
      </c>
      <c r="F14">
        <v>2.2999999999999998</v>
      </c>
      <c r="G14">
        <f t="shared" si="0"/>
        <v>7</v>
      </c>
      <c r="H14" s="4">
        <f t="shared" si="1"/>
        <v>1000</v>
      </c>
      <c r="I14" t="str">
        <f t="shared" si="2"/>
        <v>Poor</v>
      </c>
      <c r="J14" t="str">
        <f t="shared" si="3"/>
        <v>High Discount</v>
      </c>
    </row>
    <row r="15" spans="1:10" x14ac:dyDescent="0.25">
      <c r="A15" t="s">
        <v>96</v>
      </c>
      <c r="B15" s="4">
        <v>1200</v>
      </c>
      <c r="C15" s="4">
        <v>2400</v>
      </c>
      <c r="D15" s="1">
        <v>0.5</v>
      </c>
      <c r="E15" t="s">
        <v>114</v>
      </c>
      <c r="F15" t="s">
        <v>114</v>
      </c>
      <c r="G15" t="str">
        <f t="shared" si="0"/>
        <v>Unknown</v>
      </c>
      <c r="H15" s="4">
        <f t="shared" si="1"/>
        <v>1200</v>
      </c>
      <c r="I15" t="str">
        <f t="shared" si="2"/>
        <v>Unknown</v>
      </c>
      <c r="J15" t="str">
        <f t="shared" si="3"/>
        <v>High Discount</v>
      </c>
    </row>
    <row r="16" spans="1:10" x14ac:dyDescent="0.25">
      <c r="A16" t="s">
        <v>49</v>
      </c>
      <c r="B16" s="4">
        <v>999</v>
      </c>
      <c r="C16" s="4">
        <v>2000</v>
      </c>
      <c r="D16" s="1">
        <v>0.5</v>
      </c>
      <c r="E16" t="s">
        <v>114</v>
      </c>
      <c r="F16" t="s">
        <v>114</v>
      </c>
      <c r="G16" t="str">
        <f t="shared" si="0"/>
        <v>Unknown</v>
      </c>
      <c r="H16" s="4">
        <f t="shared" si="1"/>
        <v>1001</v>
      </c>
      <c r="I16" t="str">
        <f t="shared" si="2"/>
        <v>Unknown</v>
      </c>
      <c r="J16" t="str">
        <f t="shared" si="3"/>
        <v>High Discount</v>
      </c>
    </row>
    <row r="17" spans="1:10" x14ac:dyDescent="0.25">
      <c r="A17" t="s">
        <v>92</v>
      </c>
      <c r="B17" s="4">
        <v>850</v>
      </c>
      <c r="C17" s="4">
        <v>1700</v>
      </c>
      <c r="D17" s="1">
        <v>0.5</v>
      </c>
      <c r="E17" t="s">
        <v>114</v>
      </c>
      <c r="F17" t="s">
        <v>114</v>
      </c>
      <c r="G17" t="str">
        <f t="shared" si="0"/>
        <v>Unknown</v>
      </c>
      <c r="H17" s="4">
        <f t="shared" si="1"/>
        <v>850</v>
      </c>
      <c r="I17" t="str">
        <f t="shared" si="2"/>
        <v>Unknown</v>
      </c>
      <c r="J17" t="str">
        <f t="shared" si="3"/>
        <v>High Discount</v>
      </c>
    </row>
    <row r="18" spans="1:10" x14ac:dyDescent="0.25">
      <c r="A18" t="s">
        <v>54</v>
      </c>
      <c r="B18" s="4">
        <v>299</v>
      </c>
      <c r="C18" s="4">
        <v>600</v>
      </c>
      <c r="D18" s="1">
        <v>0.5</v>
      </c>
      <c r="E18" t="s">
        <v>114</v>
      </c>
      <c r="F18" t="s">
        <v>114</v>
      </c>
      <c r="G18" t="str">
        <f t="shared" si="0"/>
        <v>Unknown</v>
      </c>
      <c r="H18" s="4">
        <f t="shared" si="1"/>
        <v>301</v>
      </c>
      <c r="I18" t="str">
        <f t="shared" si="2"/>
        <v>Unknown</v>
      </c>
      <c r="J18" t="str">
        <f t="shared" si="3"/>
        <v>High Discount</v>
      </c>
    </row>
    <row r="19" spans="1:10" x14ac:dyDescent="0.25">
      <c r="A19" t="s">
        <v>46</v>
      </c>
      <c r="B19" s="4">
        <v>238</v>
      </c>
      <c r="C19" s="4">
        <v>476</v>
      </c>
      <c r="D19" s="1">
        <v>0.5</v>
      </c>
      <c r="E19" t="s">
        <v>114</v>
      </c>
      <c r="F19" t="s">
        <v>114</v>
      </c>
      <c r="G19" t="str">
        <f t="shared" si="0"/>
        <v>Unknown</v>
      </c>
      <c r="H19" s="4">
        <f t="shared" si="1"/>
        <v>238</v>
      </c>
      <c r="I19" t="str">
        <f t="shared" si="2"/>
        <v>Unknown</v>
      </c>
      <c r="J19" t="str">
        <f t="shared" si="3"/>
        <v>High Discount</v>
      </c>
    </row>
    <row r="20" spans="1:10" x14ac:dyDescent="0.25">
      <c r="A20" t="s">
        <v>83</v>
      </c>
      <c r="B20" s="4">
        <v>979</v>
      </c>
      <c r="C20" s="4">
        <v>1920</v>
      </c>
      <c r="D20" s="1">
        <v>0.49</v>
      </c>
      <c r="E20">
        <v>-1</v>
      </c>
      <c r="F20">
        <v>5</v>
      </c>
      <c r="G20">
        <f t="shared" si="0"/>
        <v>1</v>
      </c>
      <c r="H20" s="4">
        <f t="shared" si="1"/>
        <v>941</v>
      </c>
      <c r="I20" t="str">
        <f t="shared" si="2"/>
        <v>Excellent</v>
      </c>
      <c r="J20" t="str">
        <f t="shared" si="3"/>
        <v>High Discount</v>
      </c>
    </row>
    <row r="21" spans="1:10" x14ac:dyDescent="0.25">
      <c r="A21" t="s">
        <v>86</v>
      </c>
      <c r="B21" s="4">
        <v>330</v>
      </c>
      <c r="C21" s="4">
        <v>647</v>
      </c>
      <c r="D21" s="1">
        <v>0.49</v>
      </c>
      <c r="E21">
        <v>-1</v>
      </c>
      <c r="F21">
        <v>4</v>
      </c>
      <c r="G21">
        <f t="shared" si="0"/>
        <v>1</v>
      </c>
      <c r="H21" s="4">
        <f t="shared" si="1"/>
        <v>317</v>
      </c>
      <c r="I21" t="str">
        <f t="shared" si="2"/>
        <v>Average</v>
      </c>
      <c r="J21" t="str">
        <f t="shared" si="3"/>
        <v>High Discount</v>
      </c>
    </row>
    <row r="22" spans="1:10" x14ac:dyDescent="0.25">
      <c r="A22" t="s">
        <v>22</v>
      </c>
      <c r="B22" s="4">
        <v>2025</v>
      </c>
      <c r="C22" s="4">
        <v>3971</v>
      </c>
      <c r="D22" s="1">
        <v>0.49</v>
      </c>
      <c r="E22">
        <v>-3</v>
      </c>
      <c r="F22">
        <v>5</v>
      </c>
      <c r="G22">
        <f t="shared" si="0"/>
        <v>3</v>
      </c>
      <c r="H22" s="4">
        <f t="shared" si="1"/>
        <v>1946</v>
      </c>
      <c r="I22" t="str">
        <f t="shared" si="2"/>
        <v>Excellent</v>
      </c>
      <c r="J22" t="str">
        <f t="shared" si="3"/>
        <v>High Discount</v>
      </c>
    </row>
    <row r="23" spans="1:10" x14ac:dyDescent="0.25">
      <c r="A23" t="s">
        <v>24</v>
      </c>
      <c r="B23" s="4">
        <v>998</v>
      </c>
      <c r="C23" s="4">
        <v>1966</v>
      </c>
      <c r="D23" s="1">
        <v>0.49</v>
      </c>
      <c r="E23">
        <v>-44</v>
      </c>
      <c r="F23">
        <v>4.5999999999999996</v>
      </c>
      <c r="G23">
        <f t="shared" si="0"/>
        <v>44</v>
      </c>
      <c r="H23" s="4">
        <f t="shared" si="1"/>
        <v>968</v>
      </c>
      <c r="I23" t="str">
        <f t="shared" si="2"/>
        <v>Excellent</v>
      </c>
      <c r="J23" t="str">
        <f t="shared" si="3"/>
        <v>High Discount</v>
      </c>
    </row>
    <row r="24" spans="1:10" x14ac:dyDescent="0.25">
      <c r="A24" t="s">
        <v>66</v>
      </c>
      <c r="B24" s="4">
        <v>445</v>
      </c>
      <c r="C24" s="4">
        <v>873</v>
      </c>
      <c r="D24" s="1">
        <v>0.49</v>
      </c>
      <c r="E24">
        <v>-69</v>
      </c>
      <c r="F24">
        <v>2.8</v>
      </c>
      <c r="G24">
        <f t="shared" si="0"/>
        <v>69</v>
      </c>
      <c r="H24" s="4">
        <f t="shared" si="1"/>
        <v>428</v>
      </c>
      <c r="I24" t="str">
        <f t="shared" si="2"/>
        <v>Poor</v>
      </c>
      <c r="J24" t="str">
        <f t="shared" si="3"/>
        <v>High Discount</v>
      </c>
    </row>
    <row r="25" spans="1:10" x14ac:dyDescent="0.25">
      <c r="A25" t="s">
        <v>61</v>
      </c>
      <c r="B25" s="4">
        <v>799</v>
      </c>
      <c r="C25" s="4">
        <v>1567</v>
      </c>
      <c r="D25" s="1">
        <v>0.49</v>
      </c>
      <c r="E25" t="s">
        <v>114</v>
      </c>
      <c r="F25" t="s">
        <v>114</v>
      </c>
      <c r="G25" t="str">
        <f t="shared" si="0"/>
        <v>Unknown</v>
      </c>
      <c r="H25" s="4">
        <f t="shared" si="1"/>
        <v>768</v>
      </c>
      <c r="I25" t="str">
        <f t="shared" si="2"/>
        <v>Unknown</v>
      </c>
      <c r="J25" t="str">
        <f t="shared" si="3"/>
        <v>High Discount</v>
      </c>
    </row>
    <row r="26" spans="1:10" x14ac:dyDescent="0.25">
      <c r="A26" t="s">
        <v>51</v>
      </c>
      <c r="B26" s="4">
        <v>671</v>
      </c>
      <c r="C26" s="4">
        <v>1316</v>
      </c>
      <c r="D26" s="1">
        <v>0.49</v>
      </c>
      <c r="E26" t="s">
        <v>114</v>
      </c>
      <c r="F26" t="s">
        <v>114</v>
      </c>
      <c r="G26" t="str">
        <f t="shared" si="0"/>
        <v>Unknown</v>
      </c>
      <c r="H26" s="4">
        <f t="shared" si="1"/>
        <v>645</v>
      </c>
      <c r="I26" t="str">
        <f t="shared" si="2"/>
        <v>Unknown</v>
      </c>
      <c r="J26" t="str">
        <f t="shared" si="3"/>
        <v>High Discount</v>
      </c>
    </row>
    <row r="27" spans="1:10" x14ac:dyDescent="0.25">
      <c r="A27" t="s">
        <v>101</v>
      </c>
      <c r="B27" s="4">
        <v>525</v>
      </c>
      <c r="C27" s="4">
        <v>1029</v>
      </c>
      <c r="D27" s="1">
        <v>0.49</v>
      </c>
      <c r="E27" t="s">
        <v>114</v>
      </c>
      <c r="F27" t="s">
        <v>114</v>
      </c>
      <c r="G27" t="str">
        <f t="shared" si="0"/>
        <v>Unknown</v>
      </c>
      <c r="H27" s="4">
        <f t="shared" si="1"/>
        <v>504</v>
      </c>
      <c r="I27" t="str">
        <f t="shared" si="2"/>
        <v>Unknown</v>
      </c>
      <c r="J27" t="str">
        <f t="shared" si="3"/>
        <v>High Discount</v>
      </c>
    </row>
    <row r="28" spans="1:10" x14ac:dyDescent="0.25">
      <c r="A28" t="s">
        <v>45</v>
      </c>
      <c r="B28" s="4">
        <v>475</v>
      </c>
      <c r="C28" s="4">
        <v>931</v>
      </c>
      <c r="D28" s="1">
        <v>0.49</v>
      </c>
      <c r="E28" t="s">
        <v>114</v>
      </c>
      <c r="F28" t="s">
        <v>114</v>
      </c>
      <c r="G28" t="str">
        <f t="shared" si="0"/>
        <v>Unknown</v>
      </c>
      <c r="H28" s="4">
        <f t="shared" si="1"/>
        <v>456</v>
      </c>
      <c r="I28" t="str">
        <f t="shared" si="2"/>
        <v>Unknown</v>
      </c>
      <c r="J28" t="str">
        <f t="shared" si="3"/>
        <v>High Discount</v>
      </c>
    </row>
    <row r="29" spans="1:10" x14ac:dyDescent="0.25">
      <c r="A29" t="s">
        <v>88</v>
      </c>
      <c r="B29" s="4">
        <v>274</v>
      </c>
      <c r="C29" s="4">
        <v>537</v>
      </c>
      <c r="D29" s="1">
        <v>0.49</v>
      </c>
      <c r="E29" t="s">
        <v>114</v>
      </c>
      <c r="F29" t="s">
        <v>114</v>
      </c>
      <c r="G29" t="str">
        <f t="shared" si="0"/>
        <v>Unknown</v>
      </c>
      <c r="H29" s="4">
        <f t="shared" si="1"/>
        <v>263</v>
      </c>
      <c r="I29" t="str">
        <f t="shared" si="2"/>
        <v>Unknown</v>
      </c>
      <c r="J29" t="str">
        <f t="shared" si="3"/>
        <v>High Discount</v>
      </c>
    </row>
    <row r="30" spans="1:10" x14ac:dyDescent="0.25">
      <c r="A30" t="s">
        <v>99</v>
      </c>
      <c r="B30" s="4">
        <v>248</v>
      </c>
      <c r="C30" s="4">
        <v>486</v>
      </c>
      <c r="D30" s="1">
        <v>0.49</v>
      </c>
      <c r="E30" t="s">
        <v>114</v>
      </c>
      <c r="F30" t="s">
        <v>114</v>
      </c>
      <c r="G30" t="str">
        <f t="shared" si="0"/>
        <v>Unknown</v>
      </c>
      <c r="H30" s="4">
        <f t="shared" si="1"/>
        <v>238</v>
      </c>
      <c r="I30" t="str">
        <f t="shared" si="2"/>
        <v>Unknown</v>
      </c>
      <c r="J30" t="str">
        <f t="shared" si="3"/>
        <v>High Discount</v>
      </c>
    </row>
    <row r="31" spans="1:10" x14ac:dyDescent="0.25">
      <c r="A31" t="s">
        <v>81</v>
      </c>
      <c r="B31" s="4">
        <v>230</v>
      </c>
      <c r="C31" s="4">
        <v>450</v>
      </c>
      <c r="D31" s="1">
        <v>0.49</v>
      </c>
      <c r="E31" t="s">
        <v>114</v>
      </c>
      <c r="F31" t="s">
        <v>114</v>
      </c>
      <c r="G31" t="str">
        <f t="shared" si="0"/>
        <v>Unknown</v>
      </c>
      <c r="H31" s="4">
        <f t="shared" si="1"/>
        <v>220</v>
      </c>
      <c r="I31" t="str">
        <f t="shared" si="2"/>
        <v>Unknown</v>
      </c>
      <c r="J31" t="str">
        <f t="shared" si="3"/>
        <v>High Discount</v>
      </c>
    </row>
    <row r="32" spans="1:10" x14ac:dyDescent="0.25">
      <c r="A32" t="s">
        <v>37</v>
      </c>
      <c r="B32" s="4">
        <v>1820</v>
      </c>
      <c r="C32" s="4">
        <v>3490</v>
      </c>
      <c r="D32" s="1">
        <v>0.48</v>
      </c>
      <c r="E32">
        <v>-9</v>
      </c>
      <c r="F32">
        <v>4.3</v>
      </c>
      <c r="G32">
        <f t="shared" si="0"/>
        <v>9</v>
      </c>
      <c r="H32" s="4">
        <f t="shared" si="1"/>
        <v>1670</v>
      </c>
      <c r="I32" t="str">
        <f t="shared" si="2"/>
        <v>Average</v>
      </c>
      <c r="J32" t="str">
        <f t="shared" si="3"/>
        <v>High Discount</v>
      </c>
    </row>
    <row r="33" spans="1:10" x14ac:dyDescent="0.25">
      <c r="A33" t="s">
        <v>93</v>
      </c>
      <c r="B33" s="4">
        <v>1300</v>
      </c>
      <c r="C33" s="4">
        <v>2500</v>
      </c>
      <c r="D33" s="1">
        <v>0.48</v>
      </c>
      <c r="E33" t="s">
        <v>114</v>
      </c>
      <c r="F33" t="s">
        <v>114</v>
      </c>
      <c r="G33" t="str">
        <f t="shared" si="0"/>
        <v>Unknown</v>
      </c>
      <c r="H33" s="4">
        <f t="shared" si="1"/>
        <v>1200</v>
      </c>
      <c r="I33" t="str">
        <f t="shared" si="2"/>
        <v>Unknown</v>
      </c>
      <c r="J33" t="str">
        <f t="shared" si="3"/>
        <v>High Discount</v>
      </c>
    </row>
    <row r="34" spans="1:10" x14ac:dyDescent="0.25">
      <c r="A34" t="s">
        <v>60</v>
      </c>
      <c r="B34" s="4">
        <v>699</v>
      </c>
      <c r="C34" s="4">
        <v>1343</v>
      </c>
      <c r="D34" s="1">
        <v>0.48</v>
      </c>
      <c r="E34" t="s">
        <v>114</v>
      </c>
      <c r="F34" t="s">
        <v>114</v>
      </c>
      <c r="G34" t="str">
        <f t="shared" ref="G34:G65" si="4">IFERROR(ABS(E34),E34)</f>
        <v>Unknown</v>
      </c>
      <c r="H34" s="4">
        <f t="shared" ref="H34:H65" si="5">C34-B34</f>
        <v>644</v>
      </c>
      <c r="I34" t="str">
        <f t="shared" ref="I34:I65" si="6">IF(F34="Unknown","Unknown",IF(F34&lt;3,"Poor",IF(F34&lt;=4.4,"Average","Excellent")))</f>
        <v>Unknown</v>
      </c>
      <c r="J34" t="str">
        <f t="shared" ref="J34:J65" si="7">IF(D34&lt;20%,"Low Discount",IF(D34&lt;=40%,"Medium Discount","High Discount"))</f>
        <v>High Discount</v>
      </c>
    </row>
    <row r="35" spans="1:10" x14ac:dyDescent="0.25">
      <c r="A35" t="s">
        <v>94</v>
      </c>
      <c r="B35" s="4">
        <v>105</v>
      </c>
      <c r="C35" s="4">
        <v>200</v>
      </c>
      <c r="D35" s="1">
        <v>0.48</v>
      </c>
      <c r="E35" t="s">
        <v>114</v>
      </c>
      <c r="F35" t="s">
        <v>114</v>
      </c>
      <c r="G35" t="str">
        <f t="shared" si="4"/>
        <v>Unknown</v>
      </c>
      <c r="H35" s="4">
        <f t="shared" si="5"/>
        <v>95</v>
      </c>
      <c r="I35" t="str">
        <f t="shared" si="6"/>
        <v>Unknown</v>
      </c>
      <c r="J35" t="str">
        <f t="shared" si="7"/>
        <v>High Discount</v>
      </c>
    </row>
    <row r="36" spans="1:10" x14ac:dyDescent="0.25">
      <c r="A36" t="s">
        <v>76</v>
      </c>
      <c r="B36" s="4">
        <v>968</v>
      </c>
      <c r="C36" s="4">
        <v>1814</v>
      </c>
      <c r="D36" s="1">
        <v>0.47</v>
      </c>
      <c r="E36">
        <v>-6</v>
      </c>
      <c r="F36">
        <v>2.2000000000000002</v>
      </c>
      <c r="G36">
        <f t="shared" si="4"/>
        <v>6</v>
      </c>
      <c r="H36" s="4">
        <f t="shared" si="5"/>
        <v>846</v>
      </c>
      <c r="I36" t="str">
        <f t="shared" si="6"/>
        <v>Poor</v>
      </c>
      <c r="J36" t="str">
        <f t="shared" si="7"/>
        <v>High Discount</v>
      </c>
    </row>
    <row r="37" spans="1:10" x14ac:dyDescent="0.25">
      <c r="A37" t="s">
        <v>77</v>
      </c>
      <c r="B37" s="4">
        <v>1570</v>
      </c>
      <c r="C37" s="4">
        <v>2988</v>
      </c>
      <c r="D37" s="1">
        <v>0.47</v>
      </c>
      <c r="E37">
        <v>-7</v>
      </c>
      <c r="F37">
        <v>2.1</v>
      </c>
      <c r="G37">
        <f t="shared" si="4"/>
        <v>7</v>
      </c>
      <c r="H37" s="4">
        <f t="shared" si="5"/>
        <v>1418</v>
      </c>
      <c r="I37" t="str">
        <f t="shared" si="6"/>
        <v>Poor</v>
      </c>
      <c r="J37" t="str">
        <f t="shared" si="7"/>
        <v>High Discount</v>
      </c>
    </row>
    <row r="38" spans="1:10" x14ac:dyDescent="0.25">
      <c r="A38" t="s">
        <v>17</v>
      </c>
      <c r="B38" s="4">
        <v>552</v>
      </c>
      <c r="C38" s="4">
        <v>1035</v>
      </c>
      <c r="D38" s="1">
        <v>0.47</v>
      </c>
      <c r="E38">
        <v>-12</v>
      </c>
      <c r="F38">
        <v>4.8</v>
      </c>
      <c r="G38">
        <f t="shared" si="4"/>
        <v>12</v>
      </c>
      <c r="H38" s="4">
        <f t="shared" si="5"/>
        <v>483</v>
      </c>
      <c r="I38" t="str">
        <f t="shared" si="6"/>
        <v>Excellent</v>
      </c>
      <c r="J38" t="str">
        <f t="shared" si="7"/>
        <v>High Discount</v>
      </c>
    </row>
    <row r="39" spans="1:10" x14ac:dyDescent="0.25">
      <c r="A39" t="s">
        <v>6</v>
      </c>
      <c r="B39" s="4">
        <v>527</v>
      </c>
      <c r="C39" s="4">
        <v>999</v>
      </c>
      <c r="D39" s="1">
        <v>0.47</v>
      </c>
      <c r="E39">
        <v>-14</v>
      </c>
      <c r="F39">
        <v>4.0999999999999996</v>
      </c>
      <c r="G39">
        <f t="shared" si="4"/>
        <v>14</v>
      </c>
      <c r="H39" s="4">
        <f t="shared" si="5"/>
        <v>472</v>
      </c>
      <c r="I39" t="str">
        <f t="shared" si="6"/>
        <v>Average</v>
      </c>
      <c r="J39" t="str">
        <f t="shared" si="7"/>
        <v>High Discount</v>
      </c>
    </row>
    <row r="40" spans="1:10" x14ac:dyDescent="0.25">
      <c r="A40" t="s">
        <v>95</v>
      </c>
      <c r="B40" s="4">
        <v>899</v>
      </c>
      <c r="C40" s="4">
        <v>1699</v>
      </c>
      <c r="D40" s="1">
        <v>0.47</v>
      </c>
      <c r="E40" t="s">
        <v>114</v>
      </c>
      <c r="F40" t="s">
        <v>114</v>
      </c>
      <c r="G40" t="str">
        <f t="shared" si="4"/>
        <v>Unknown</v>
      </c>
      <c r="H40" s="4">
        <f t="shared" si="5"/>
        <v>800</v>
      </c>
      <c r="I40" t="str">
        <f t="shared" si="6"/>
        <v>Unknown</v>
      </c>
      <c r="J40" t="str">
        <f t="shared" si="7"/>
        <v>High Discount</v>
      </c>
    </row>
    <row r="41" spans="1:10" x14ac:dyDescent="0.25">
      <c r="A41" t="s">
        <v>78</v>
      </c>
      <c r="B41" s="4">
        <v>790</v>
      </c>
      <c r="C41" s="4">
        <v>1485</v>
      </c>
      <c r="D41" s="1">
        <v>0.47</v>
      </c>
      <c r="E41" t="s">
        <v>114</v>
      </c>
      <c r="F41" t="s">
        <v>114</v>
      </c>
      <c r="G41" t="str">
        <f t="shared" si="4"/>
        <v>Unknown</v>
      </c>
      <c r="H41" s="4">
        <f t="shared" si="5"/>
        <v>695</v>
      </c>
      <c r="I41" t="str">
        <f t="shared" si="6"/>
        <v>Unknown</v>
      </c>
      <c r="J41" t="str">
        <f t="shared" si="7"/>
        <v>High Discount</v>
      </c>
    </row>
    <row r="42" spans="1:10" x14ac:dyDescent="0.25">
      <c r="A42" t="s">
        <v>113</v>
      </c>
      <c r="B42" s="4">
        <v>169</v>
      </c>
      <c r="C42" s="4">
        <v>320</v>
      </c>
      <c r="D42" s="1">
        <v>0.47</v>
      </c>
      <c r="E42" t="s">
        <v>114</v>
      </c>
      <c r="F42" t="s">
        <v>114</v>
      </c>
      <c r="G42" t="str">
        <f t="shared" si="4"/>
        <v>Unknown</v>
      </c>
      <c r="H42" s="4">
        <f t="shared" si="5"/>
        <v>151</v>
      </c>
      <c r="I42" t="str">
        <f t="shared" si="6"/>
        <v>Unknown</v>
      </c>
      <c r="J42" t="str">
        <f t="shared" si="7"/>
        <v>High Discount</v>
      </c>
    </row>
    <row r="43" spans="1:10" x14ac:dyDescent="0.25">
      <c r="A43" t="s">
        <v>82</v>
      </c>
      <c r="B43" s="4">
        <v>1189</v>
      </c>
      <c r="C43" s="4">
        <v>2199</v>
      </c>
      <c r="D43" s="1">
        <v>0.46</v>
      </c>
      <c r="E43">
        <v>-1</v>
      </c>
      <c r="F43">
        <v>3</v>
      </c>
      <c r="G43">
        <f t="shared" si="4"/>
        <v>1</v>
      </c>
      <c r="H43" s="4">
        <f t="shared" si="5"/>
        <v>1010</v>
      </c>
      <c r="I43" t="str">
        <f t="shared" si="6"/>
        <v>Average</v>
      </c>
      <c r="J43" t="str">
        <f t="shared" si="7"/>
        <v>High Discount</v>
      </c>
    </row>
    <row r="44" spans="1:10" x14ac:dyDescent="0.25">
      <c r="A44" t="s">
        <v>21</v>
      </c>
      <c r="B44" s="4">
        <v>195</v>
      </c>
      <c r="C44" s="4">
        <v>360</v>
      </c>
      <c r="D44" s="1">
        <v>0.46</v>
      </c>
      <c r="E44">
        <v>-2</v>
      </c>
      <c r="F44">
        <v>5</v>
      </c>
      <c r="G44">
        <f t="shared" si="4"/>
        <v>2</v>
      </c>
      <c r="H44" s="4">
        <f t="shared" si="5"/>
        <v>165</v>
      </c>
      <c r="I44" t="str">
        <f t="shared" si="6"/>
        <v>Excellent</v>
      </c>
      <c r="J44" t="str">
        <f t="shared" si="7"/>
        <v>High Discount</v>
      </c>
    </row>
    <row r="45" spans="1:10" x14ac:dyDescent="0.25">
      <c r="A45" t="s">
        <v>34</v>
      </c>
      <c r="B45" s="4">
        <v>2200</v>
      </c>
      <c r="C45" s="4">
        <v>4080</v>
      </c>
      <c r="D45" s="1">
        <v>0.46</v>
      </c>
      <c r="E45" t="s">
        <v>114</v>
      </c>
      <c r="F45" t="s">
        <v>114</v>
      </c>
      <c r="G45" t="str">
        <f t="shared" si="4"/>
        <v>Unknown</v>
      </c>
      <c r="H45" s="4">
        <f t="shared" si="5"/>
        <v>1880</v>
      </c>
      <c r="I45" t="str">
        <f t="shared" si="6"/>
        <v>Unknown</v>
      </c>
      <c r="J45" t="str">
        <f t="shared" si="7"/>
        <v>High Discount</v>
      </c>
    </row>
    <row r="46" spans="1:10" x14ac:dyDescent="0.25">
      <c r="A46" t="s">
        <v>14</v>
      </c>
      <c r="B46" s="4">
        <v>1600</v>
      </c>
      <c r="C46" s="4">
        <v>2929</v>
      </c>
      <c r="D46" s="1">
        <v>0.45</v>
      </c>
      <c r="E46">
        <v>-5</v>
      </c>
      <c r="F46">
        <v>3.8</v>
      </c>
      <c r="G46">
        <f t="shared" si="4"/>
        <v>5</v>
      </c>
      <c r="H46" s="4">
        <f t="shared" si="5"/>
        <v>1329</v>
      </c>
      <c r="I46" t="str">
        <f t="shared" si="6"/>
        <v>Average</v>
      </c>
      <c r="J46" t="str">
        <f t="shared" si="7"/>
        <v>High Discount</v>
      </c>
    </row>
    <row r="47" spans="1:10" x14ac:dyDescent="0.25">
      <c r="A47" t="s">
        <v>69</v>
      </c>
      <c r="B47" s="4">
        <v>990</v>
      </c>
      <c r="C47" s="4">
        <v>1814</v>
      </c>
      <c r="D47" s="1">
        <v>0.45</v>
      </c>
      <c r="E47">
        <v>-6</v>
      </c>
      <c r="F47">
        <v>2.2000000000000002</v>
      </c>
      <c r="G47">
        <f t="shared" si="4"/>
        <v>6</v>
      </c>
      <c r="H47" s="4">
        <f t="shared" si="5"/>
        <v>824</v>
      </c>
      <c r="I47" t="str">
        <f t="shared" si="6"/>
        <v>Poor</v>
      </c>
      <c r="J47" t="str">
        <f t="shared" si="7"/>
        <v>High Discount</v>
      </c>
    </row>
    <row r="48" spans="1:10" x14ac:dyDescent="0.25">
      <c r="A48" t="s">
        <v>72</v>
      </c>
      <c r="B48" s="4">
        <v>382</v>
      </c>
      <c r="C48" s="4">
        <v>700</v>
      </c>
      <c r="D48" s="1">
        <v>0.45</v>
      </c>
      <c r="E48">
        <v>-17</v>
      </c>
      <c r="F48">
        <v>2.6</v>
      </c>
      <c r="G48">
        <f t="shared" si="4"/>
        <v>17</v>
      </c>
      <c r="H48" s="4">
        <f t="shared" si="5"/>
        <v>318</v>
      </c>
      <c r="I48" t="str">
        <f t="shared" si="6"/>
        <v>Poor</v>
      </c>
      <c r="J48" t="str">
        <f t="shared" si="7"/>
        <v>High Discount</v>
      </c>
    </row>
    <row r="49" spans="1:10" x14ac:dyDescent="0.25">
      <c r="A49" t="s">
        <v>59</v>
      </c>
      <c r="B49" s="4">
        <v>499</v>
      </c>
      <c r="C49" s="4">
        <v>900</v>
      </c>
      <c r="D49" s="1">
        <v>0.45</v>
      </c>
      <c r="E49" t="s">
        <v>114</v>
      </c>
      <c r="F49" t="s">
        <v>114</v>
      </c>
      <c r="G49" t="str">
        <f t="shared" si="4"/>
        <v>Unknown</v>
      </c>
      <c r="H49" s="4">
        <f t="shared" si="5"/>
        <v>401</v>
      </c>
      <c r="I49" t="str">
        <f t="shared" si="6"/>
        <v>Unknown</v>
      </c>
      <c r="J49" t="str">
        <f t="shared" si="7"/>
        <v>High Discount</v>
      </c>
    </row>
    <row r="50" spans="1:10" x14ac:dyDescent="0.25">
      <c r="A50" t="s">
        <v>75</v>
      </c>
      <c r="B50" s="4">
        <v>509</v>
      </c>
      <c r="C50" s="4">
        <v>899</v>
      </c>
      <c r="D50" s="1">
        <v>0.43</v>
      </c>
      <c r="E50">
        <v>-5</v>
      </c>
      <c r="F50">
        <v>3</v>
      </c>
      <c r="G50">
        <f t="shared" si="4"/>
        <v>5</v>
      </c>
      <c r="H50" s="4">
        <f t="shared" si="5"/>
        <v>390</v>
      </c>
      <c r="I50" t="str">
        <f t="shared" si="6"/>
        <v>Average</v>
      </c>
      <c r="J50" t="str">
        <f t="shared" si="7"/>
        <v>High Discount</v>
      </c>
    </row>
    <row r="51" spans="1:10" x14ac:dyDescent="0.25">
      <c r="A51" t="s">
        <v>74</v>
      </c>
      <c r="B51" s="4">
        <v>345</v>
      </c>
      <c r="C51" s="4">
        <v>602</v>
      </c>
      <c r="D51" s="1">
        <v>0.43</v>
      </c>
      <c r="E51">
        <v>-6</v>
      </c>
      <c r="F51">
        <v>2.2999999999999998</v>
      </c>
      <c r="G51">
        <f t="shared" si="4"/>
        <v>6</v>
      </c>
      <c r="H51" s="4">
        <f t="shared" si="5"/>
        <v>257</v>
      </c>
      <c r="I51" t="str">
        <f t="shared" si="6"/>
        <v>Poor</v>
      </c>
      <c r="J51" t="str">
        <f t="shared" si="7"/>
        <v>High Discount</v>
      </c>
    </row>
    <row r="52" spans="1:10" x14ac:dyDescent="0.25">
      <c r="A52" t="s">
        <v>79</v>
      </c>
      <c r="B52" s="4">
        <v>690</v>
      </c>
      <c r="C52" s="4">
        <v>1200</v>
      </c>
      <c r="D52" s="1">
        <v>0.43</v>
      </c>
      <c r="E52" t="s">
        <v>114</v>
      </c>
      <c r="F52" t="s">
        <v>114</v>
      </c>
      <c r="G52" t="str">
        <f t="shared" si="4"/>
        <v>Unknown</v>
      </c>
      <c r="H52" s="4">
        <f t="shared" si="5"/>
        <v>510</v>
      </c>
      <c r="I52" t="str">
        <f t="shared" si="6"/>
        <v>Unknown</v>
      </c>
      <c r="J52" t="str">
        <f t="shared" si="7"/>
        <v>High Discount</v>
      </c>
    </row>
    <row r="53" spans="1:10" x14ac:dyDescent="0.25">
      <c r="A53" t="s">
        <v>91</v>
      </c>
      <c r="B53" s="4">
        <v>630</v>
      </c>
      <c r="C53" s="4">
        <v>1100</v>
      </c>
      <c r="D53" s="1">
        <v>0.43</v>
      </c>
      <c r="E53" t="s">
        <v>114</v>
      </c>
      <c r="F53" t="s">
        <v>114</v>
      </c>
      <c r="G53" t="str">
        <f t="shared" si="4"/>
        <v>Unknown</v>
      </c>
      <c r="H53" s="4">
        <f t="shared" si="5"/>
        <v>470</v>
      </c>
      <c r="I53" t="str">
        <f t="shared" si="6"/>
        <v>Unknown</v>
      </c>
      <c r="J53" t="str">
        <f t="shared" si="7"/>
        <v>High Discount</v>
      </c>
    </row>
    <row r="54" spans="1:10" x14ac:dyDescent="0.25">
      <c r="A54" t="s">
        <v>18</v>
      </c>
      <c r="B54" s="4">
        <v>501</v>
      </c>
      <c r="C54" s="4">
        <v>860</v>
      </c>
      <c r="D54" s="1">
        <v>0.42</v>
      </c>
      <c r="E54">
        <v>-6</v>
      </c>
      <c r="F54">
        <v>4.5</v>
      </c>
      <c r="G54">
        <f t="shared" si="4"/>
        <v>6</v>
      </c>
      <c r="H54" s="4">
        <f t="shared" si="5"/>
        <v>359</v>
      </c>
      <c r="I54" t="str">
        <f t="shared" si="6"/>
        <v>Excellent</v>
      </c>
      <c r="J54" t="str">
        <f t="shared" si="7"/>
        <v>High Discount</v>
      </c>
    </row>
    <row r="55" spans="1:10" x14ac:dyDescent="0.25">
      <c r="A55" t="s">
        <v>26</v>
      </c>
      <c r="B55" s="4">
        <v>1860</v>
      </c>
      <c r="C55" s="4">
        <v>3220</v>
      </c>
      <c r="D55" s="1">
        <v>0.42</v>
      </c>
      <c r="E55" t="s">
        <v>114</v>
      </c>
      <c r="F55" t="s">
        <v>114</v>
      </c>
      <c r="G55" t="str">
        <f t="shared" si="4"/>
        <v>Unknown</v>
      </c>
      <c r="H55" s="4">
        <f t="shared" si="5"/>
        <v>1360</v>
      </c>
      <c r="I55" t="str">
        <f t="shared" si="6"/>
        <v>Unknown</v>
      </c>
      <c r="J55" t="str">
        <f t="shared" si="7"/>
        <v>High Discount</v>
      </c>
    </row>
    <row r="56" spans="1:10" x14ac:dyDescent="0.25">
      <c r="A56" t="s">
        <v>102</v>
      </c>
      <c r="B56" s="4">
        <v>1080</v>
      </c>
      <c r="C56" s="4">
        <v>1874</v>
      </c>
      <c r="D56" s="1">
        <v>0.42</v>
      </c>
      <c r="E56" t="s">
        <v>114</v>
      </c>
      <c r="F56" t="s">
        <v>114</v>
      </c>
      <c r="G56" t="str">
        <f t="shared" si="4"/>
        <v>Unknown</v>
      </c>
      <c r="H56" s="4">
        <f t="shared" si="5"/>
        <v>794</v>
      </c>
      <c r="I56" t="str">
        <f t="shared" si="6"/>
        <v>Unknown</v>
      </c>
      <c r="J56" t="str">
        <f t="shared" si="7"/>
        <v>High Discount</v>
      </c>
    </row>
    <row r="57" spans="1:10" x14ac:dyDescent="0.25">
      <c r="A57" t="s">
        <v>47</v>
      </c>
      <c r="B57" s="4">
        <v>610</v>
      </c>
      <c r="C57" s="4">
        <v>1060</v>
      </c>
      <c r="D57" s="1">
        <v>0.42</v>
      </c>
      <c r="E57" t="s">
        <v>114</v>
      </c>
      <c r="F57" t="s">
        <v>114</v>
      </c>
      <c r="G57" t="str">
        <f t="shared" si="4"/>
        <v>Unknown</v>
      </c>
      <c r="H57" s="4">
        <f t="shared" si="5"/>
        <v>450</v>
      </c>
      <c r="I57" t="str">
        <f t="shared" si="6"/>
        <v>Unknown</v>
      </c>
      <c r="J57" t="str">
        <f t="shared" si="7"/>
        <v>High Discount</v>
      </c>
    </row>
    <row r="58" spans="1:10" x14ac:dyDescent="0.25">
      <c r="A58" t="s">
        <v>42</v>
      </c>
      <c r="B58" s="4">
        <v>389</v>
      </c>
      <c r="C58" s="4">
        <v>656</v>
      </c>
      <c r="D58" s="1">
        <v>0.41</v>
      </c>
      <c r="E58">
        <v>-36</v>
      </c>
      <c r="F58">
        <v>4.3</v>
      </c>
      <c r="G58">
        <f t="shared" si="4"/>
        <v>36</v>
      </c>
      <c r="H58" s="4">
        <f t="shared" si="5"/>
        <v>267</v>
      </c>
      <c r="I58" t="str">
        <f t="shared" si="6"/>
        <v>Average</v>
      </c>
      <c r="J58" t="str">
        <f t="shared" si="7"/>
        <v>High Discount</v>
      </c>
    </row>
    <row r="59" spans="1:10" x14ac:dyDescent="0.25">
      <c r="A59" t="s">
        <v>104</v>
      </c>
      <c r="B59" s="4">
        <v>1420</v>
      </c>
      <c r="C59" s="4">
        <v>2420</v>
      </c>
      <c r="D59" s="1">
        <v>0.41</v>
      </c>
      <c r="E59" t="s">
        <v>114</v>
      </c>
      <c r="F59" t="s">
        <v>114</v>
      </c>
      <c r="G59" t="str">
        <f t="shared" si="4"/>
        <v>Unknown</v>
      </c>
      <c r="H59" s="4">
        <f t="shared" si="5"/>
        <v>1000</v>
      </c>
      <c r="I59" t="str">
        <f t="shared" si="6"/>
        <v>Unknown</v>
      </c>
      <c r="J59" t="str">
        <f t="shared" si="7"/>
        <v>High Discount</v>
      </c>
    </row>
    <row r="60" spans="1:10" x14ac:dyDescent="0.25">
      <c r="A60" t="s">
        <v>58</v>
      </c>
      <c r="B60" s="4">
        <v>799</v>
      </c>
      <c r="C60" s="4">
        <v>1343</v>
      </c>
      <c r="D60" s="1">
        <v>0.41</v>
      </c>
      <c r="E60" t="s">
        <v>114</v>
      </c>
      <c r="F60" t="s">
        <v>114</v>
      </c>
      <c r="G60" t="str">
        <f t="shared" si="4"/>
        <v>Unknown</v>
      </c>
      <c r="H60" s="4">
        <f t="shared" si="5"/>
        <v>544</v>
      </c>
      <c r="I60" t="str">
        <f t="shared" si="6"/>
        <v>Unknown</v>
      </c>
      <c r="J60" t="str">
        <f t="shared" si="7"/>
        <v>High Discount</v>
      </c>
    </row>
    <row r="61" spans="1:10" x14ac:dyDescent="0.25">
      <c r="A61" t="s">
        <v>40</v>
      </c>
      <c r="B61" s="4">
        <v>1620</v>
      </c>
      <c r="C61" s="4">
        <v>2690</v>
      </c>
      <c r="D61" s="1">
        <v>0.4</v>
      </c>
      <c r="E61">
        <v>-1</v>
      </c>
      <c r="F61">
        <v>5</v>
      </c>
      <c r="G61">
        <f t="shared" si="4"/>
        <v>1</v>
      </c>
      <c r="H61" s="4">
        <f t="shared" si="5"/>
        <v>1070</v>
      </c>
      <c r="I61" t="str">
        <f t="shared" si="6"/>
        <v>Excellent</v>
      </c>
      <c r="J61" t="str">
        <f t="shared" si="7"/>
        <v>Medium Discount</v>
      </c>
    </row>
    <row r="62" spans="1:10" x14ac:dyDescent="0.25">
      <c r="A62" t="s">
        <v>71</v>
      </c>
      <c r="B62" s="4">
        <v>3750</v>
      </c>
      <c r="C62" s="4">
        <v>6143</v>
      </c>
      <c r="D62" s="1">
        <v>0.39</v>
      </c>
      <c r="E62">
        <v>-5</v>
      </c>
      <c r="F62">
        <v>3</v>
      </c>
      <c r="G62">
        <f t="shared" si="4"/>
        <v>5</v>
      </c>
      <c r="H62" s="4">
        <f t="shared" si="5"/>
        <v>2393</v>
      </c>
      <c r="I62" t="str">
        <f t="shared" si="6"/>
        <v>Average</v>
      </c>
      <c r="J62" t="str">
        <f t="shared" si="7"/>
        <v>Medium Discount</v>
      </c>
    </row>
    <row r="63" spans="1:10" x14ac:dyDescent="0.25">
      <c r="A63" t="s">
        <v>43</v>
      </c>
      <c r="B63" s="4">
        <v>1800</v>
      </c>
      <c r="C63" s="4">
        <v>2700</v>
      </c>
      <c r="D63" s="1">
        <v>0.38</v>
      </c>
      <c r="E63">
        <v>-2</v>
      </c>
      <c r="F63">
        <v>4.5</v>
      </c>
      <c r="G63">
        <f t="shared" si="4"/>
        <v>2</v>
      </c>
      <c r="H63" s="4">
        <f t="shared" si="5"/>
        <v>900</v>
      </c>
      <c r="I63" t="str">
        <f t="shared" si="6"/>
        <v>Excellent</v>
      </c>
      <c r="J63" t="str">
        <f t="shared" si="7"/>
        <v>Medium Discount</v>
      </c>
    </row>
    <row r="64" spans="1:10" x14ac:dyDescent="0.25">
      <c r="A64" t="s">
        <v>5</v>
      </c>
      <c r="B64" s="4">
        <v>950</v>
      </c>
      <c r="C64" s="4">
        <v>1525</v>
      </c>
      <c r="D64" s="1">
        <v>0.38</v>
      </c>
      <c r="E64">
        <v>-2</v>
      </c>
      <c r="F64">
        <v>4.5</v>
      </c>
      <c r="G64">
        <f t="shared" si="4"/>
        <v>2</v>
      </c>
      <c r="H64" s="4">
        <f t="shared" si="5"/>
        <v>575</v>
      </c>
      <c r="I64" t="str">
        <f t="shared" si="6"/>
        <v>Excellent</v>
      </c>
      <c r="J64" t="str">
        <f t="shared" si="7"/>
        <v>Medium Discount</v>
      </c>
    </row>
    <row r="65" spans="1:10" x14ac:dyDescent="0.25">
      <c r="A65" t="s">
        <v>44</v>
      </c>
      <c r="B65" s="4">
        <v>2750</v>
      </c>
      <c r="C65" s="4">
        <v>4471</v>
      </c>
      <c r="D65" s="1">
        <v>0.38</v>
      </c>
      <c r="E65" t="s">
        <v>114</v>
      </c>
      <c r="F65" t="s">
        <v>114</v>
      </c>
      <c r="G65" t="str">
        <f t="shared" si="4"/>
        <v>Unknown</v>
      </c>
      <c r="H65" s="4">
        <f t="shared" si="5"/>
        <v>1721</v>
      </c>
      <c r="I65" t="str">
        <f t="shared" si="6"/>
        <v>Unknown</v>
      </c>
      <c r="J65" t="str">
        <f t="shared" si="7"/>
        <v>Medium Discount</v>
      </c>
    </row>
    <row r="66" spans="1:10" x14ac:dyDescent="0.25">
      <c r="A66" t="s">
        <v>52</v>
      </c>
      <c r="B66" s="4">
        <v>1200</v>
      </c>
      <c r="C66" s="4">
        <v>1950</v>
      </c>
      <c r="D66" s="1">
        <v>0.38</v>
      </c>
      <c r="E66" t="s">
        <v>114</v>
      </c>
      <c r="F66" t="s">
        <v>114</v>
      </c>
      <c r="G66" t="str">
        <f t="shared" ref="G66:G97" si="8">IFERROR(ABS(E66),E66)</f>
        <v>Unknown</v>
      </c>
      <c r="H66" s="4">
        <f t="shared" ref="H66:H97" si="9">C66-B66</f>
        <v>750</v>
      </c>
      <c r="I66" t="str">
        <f t="shared" ref="I66:I97" si="10">IF(F66="Unknown","Unknown",IF(F66&lt;3,"Poor",IF(F66&lt;=4.4,"Average","Excellent")))</f>
        <v>Unknown</v>
      </c>
      <c r="J66" t="str">
        <f t="shared" ref="J66:J97" si="11">IF(D66&lt;20%,"Low Discount",IF(D66&lt;=40%,"Medium Discount","High Discount"))</f>
        <v>Medium Discount</v>
      </c>
    </row>
    <row r="67" spans="1:10" x14ac:dyDescent="0.25">
      <c r="A67" t="s">
        <v>12</v>
      </c>
      <c r="B67" s="4">
        <v>988</v>
      </c>
      <c r="C67" s="4">
        <v>1580</v>
      </c>
      <c r="D67" s="1">
        <v>0.37</v>
      </c>
      <c r="E67">
        <v>-2</v>
      </c>
      <c r="F67">
        <v>4</v>
      </c>
      <c r="G67">
        <f t="shared" si="8"/>
        <v>2</v>
      </c>
      <c r="H67" s="4">
        <f t="shared" si="9"/>
        <v>592</v>
      </c>
      <c r="I67" t="str">
        <f t="shared" si="10"/>
        <v>Average</v>
      </c>
      <c r="J67" t="str">
        <f t="shared" si="11"/>
        <v>Medium Discount</v>
      </c>
    </row>
    <row r="68" spans="1:10" x14ac:dyDescent="0.25">
      <c r="A68" t="s">
        <v>8</v>
      </c>
      <c r="B68" s="4">
        <v>1580</v>
      </c>
      <c r="C68" s="4">
        <v>2499</v>
      </c>
      <c r="D68" s="1">
        <v>0.37</v>
      </c>
      <c r="E68">
        <v>-7</v>
      </c>
      <c r="F68">
        <v>4.7</v>
      </c>
      <c r="G68">
        <f t="shared" si="8"/>
        <v>7</v>
      </c>
      <c r="H68" s="4">
        <f t="shared" si="9"/>
        <v>919</v>
      </c>
      <c r="I68" t="str">
        <f t="shared" si="10"/>
        <v>Excellent</v>
      </c>
      <c r="J68" t="str">
        <f t="shared" si="11"/>
        <v>Medium Discount</v>
      </c>
    </row>
    <row r="69" spans="1:10" x14ac:dyDescent="0.25">
      <c r="A69" t="s">
        <v>84</v>
      </c>
      <c r="B69" s="4">
        <v>1460</v>
      </c>
      <c r="C69" s="4">
        <v>2290</v>
      </c>
      <c r="D69" s="1">
        <v>0.36</v>
      </c>
      <c r="E69" t="s">
        <v>114</v>
      </c>
      <c r="F69" t="s">
        <v>114</v>
      </c>
      <c r="G69" t="str">
        <f t="shared" si="8"/>
        <v>Unknown</v>
      </c>
      <c r="H69" s="4">
        <f t="shared" si="9"/>
        <v>830</v>
      </c>
      <c r="I69" t="str">
        <f t="shared" si="10"/>
        <v>Unknown</v>
      </c>
      <c r="J69" t="str">
        <f t="shared" si="11"/>
        <v>Medium Discount</v>
      </c>
    </row>
    <row r="70" spans="1:10" x14ac:dyDescent="0.25">
      <c r="A70" t="s">
        <v>27</v>
      </c>
      <c r="B70" s="4">
        <v>880</v>
      </c>
      <c r="C70" s="4">
        <v>1350</v>
      </c>
      <c r="D70" s="1">
        <v>0.35</v>
      </c>
      <c r="E70">
        <v>-6</v>
      </c>
      <c r="F70">
        <v>4</v>
      </c>
      <c r="G70">
        <f t="shared" si="8"/>
        <v>6</v>
      </c>
      <c r="H70" s="4">
        <f t="shared" si="9"/>
        <v>470</v>
      </c>
      <c r="I70" t="str">
        <f t="shared" si="10"/>
        <v>Average</v>
      </c>
      <c r="J70" t="str">
        <f t="shared" si="11"/>
        <v>Medium Discount</v>
      </c>
    </row>
    <row r="71" spans="1:10" x14ac:dyDescent="0.25">
      <c r="A71" t="s">
        <v>30</v>
      </c>
      <c r="B71" s="4">
        <v>420</v>
      </c>
      <c r="C71" s="4">
        <v>647</v>
      </c>
      <c r="D71" s="1">
        <v>0.35</v>
      </c>
      <c r="E71">
        <v>-49</v>
      </c>
      <c r="F71">
        <v>4.5999999999999996</v>
      </c>
      <c r="G71">
        <f t="shared" si="8"/>
        <v>49</v>
      </c>
      <c r="H71" s="4">
        <f t="shared" si="9"/>
        <v>227</v>
      </c>
      <c r="I71" t="str">
        <f t="shared" si="10"/>
        <v>Excellent</v>
      </c>
      <c r="J71" t="str">
        <f t="shared" si="11"/>
        <v>Medium Discount</v>
      </c>
    </row>
    <row r="72" spans="1:10" x14ac:dyDescent="0.25">
      <c r="A72" t="s">
        <v>36</v>
      </c>
      <c r="B72" s="4">
        <v>980</v>
      </c>
      <c r="C72" s="4">
        <v>1490</v>
      </c>
      <c r="D72" s="1">
        <v>0.34</v>
      </c>
      <c r="E72">
        <v>-12</v>
      </c>
      <c r="F72">
        <v>4.7</v>
      </c>
      <c r="G72">
        <f t="shared" si="8"/>
        <v>12</v>
      </c>
      <c r="H72" s="4">
        <f t="shared" si="9"/>
        <v>510</v>
      </c>
      <c r="I72" t="str">
        <f t="shared" si="10"/>
        <v>Excellent</v>
      </c>
      <c r="J72" t="str">
        <f t="shared" si="11"/>
        <v>Medium Discount</v>
      </c>
    </row>
    <row r="73" spans="1:10" x14ac:dyDescent="0.25">
      <c r="A73" t="s">
        <v>16</v>
      </c>
      <c r="B73" s="4">
        <v>990</v>
      </c>
      <c r="C73" s="4">
        <v>1500</v>
      </c>
      <c r="D73" s="1">
        <v>0.34</v>
      </c>
      <c r="E73">
        <v>-39</v>
      </c>
      <c r="F73">
        <v>4.7</v>
      </c>
      <c r="G73">
        <f t="shared" si="8"/>
        <v>39</v>
      </c>
      <c r="H73" s="4">
        <f t="shared" si="9"/>
        <v>510</v>
      </c>
      <c r="I73" t="str">
        <f t="shared" si="10"/>
        <v>Excellent</v>
      </c>
      <c r="J73" t="str">
        <f t="shared" si="11"/>
        <v>Medium Discount</v>
      </c>
    </row>
    <row r="74" spans="1:10" x14ac:dyDescent="0.25">
      <c r="A74" t="s">
        <v>108</v>
      </c>
      <c r="B74" s="4">
        <v>1190</v>
      </c>
      <c r="C74" s="4">
        <v>1810</v>
      </c>
      <c r="D74" s="1">
        <v>0.34</v>
      </c>
      <c r="E74" t="s">
        <v>114</v>
      </c>
      <c r="F74" t="s">
        <v>114</v>
      </c>
      <c r="G74" t="str">
        <f t="shared" si="8"/>
        <v>Unknown</v>
      </c>
      <c r="H74" s="4">
        <f t="shared" si="9"/>
        <v>620</v>
      </c>
      <c r="I74" t="str">
        <f t="shared" si="10"/>
        <v>Unknown</v>
      </c>
      <c r="J74" t="str">
        <f t="shared" si="11"/>
        <v>Medium Discount</v>
      </c>
    </row>
    <row r="75" spans="1:10" x14ac:dyDescent="0.25">
      <c r="A75" t="s">
        <v>107</v>
      </c>
      <c r="B75" s="4">
        <v>1150</v>
      </c>
      <c r="C75" s="4">
        <v>1737</v>
      </c>
      <c r="D75" s="1">
        <v>0.34</v>
      </c>
      <c r="E75" t="s">
        <v>114</v>
      </c>
      <c r="F75" t="s">
        <v>114</v>
      </c>
      <c r="G75" t="str">
        <f t="shared" si="8"/>
        <v>Unknown</v>
      </c>
      <c r="H75" s="4">
        <f t="shared" si="9"/>
        <v>587</v>
      </c>
      <c r="I75" t="str">
        <f t="shared" si="10"/>
        <v>Unknown</v>
      </c>
      <c r="J75" t="str">
        <f t="shared" si="11"/>
        <v>Medium Discount</v>
      </c>
    </row>
    <row r="76" spans="1:10" x14ac:dyDescent="0.25">
      <c r="A76" t="s">
        <v>19</v>
      </c>
      <c r="B76" s="4">
        <v>1680</v>
      </c>
      <c r="C76" s="4">
        <v>2499</v>
      </c>
      <c r="D76" s="1">
        <v>0.33</v>
      </c>
      <c r="E76">
        <v>-9</v>
      </c>
      <c r="F76">
        <v>4.2</v>
      </c>
      <c r="G76">
        <f t="shared" si="8"/>
        <v>9</v>
      </c>
      <c r="H76" s="4">
        <f t="shared" si="9"/>
        <v>819</v>
      </c>
      <c r="I76" t="str">
        <f t="shared" si="10"/>
        <v>Average</v>
      </c>
      <c r="J76" t="str">
        <f t="shared" si="11"/>
        <v>Medium Discount</v>
      </c>
    </row>
    <row r="77" spans="1:10" x14ac:dyDescent="0.25">
      <c r="A77" t="s">
        <v>50</v>
      </c>
      <c r="B77" s="4">
        <v>1190</v>
      </c>
      <c r="C77" s="4">
        <v>1785</v>
      </c>
      <c r="D77" s="1">
        <v>0.33</v>
      </c>
      <c r="E77" t="s">
        <v>114</v>
      </c>
      <c r="F77" t="s">
        <v>114</v>
      </c>
      <c r="G77" t="str">
        <f t="shared" si="8"/>
        <v>Unknown</v>
      </c>
      <c r="H77" s="4">
        <f t="shared" si="9"/>
        <v>595</v>
      </c>
      <c r="I77" t="str">
        <f t="shared" si="10"/>
        <v>Unknown</v>
      </c>
      <c r="J77" t="str">
        <f t="shared" si="11"/>
        <v>Medium Discount</v>
      </c>
    </row>
    <row r="78" spans="1:10" x14ac:dyDescent="0.25">
      <c r="A78" t="s">
        <v>32</v>
      </c>
      <c r="B78" s="4">
        <v>1350</v>
      </c>
      <c r="C78" s="4">
        <v>1990</v>
      </c>
      <c r="D78" s="1">
        <v>0.32</v>
      </c>
      <c r="E78">
        <v>-13</v>
      </c>
      <c r="F78">
        <v>3.8</v>
      </c>
      <c r="G78">
        <f t="shared" si="8"/>
        <v>13</v>
      </c>
      <c r="H78" s="4">
        <f t="shared" si="9"/>
        <v>640</v>
      </c>
      <c r="I78" t="str">
        <f t="shared" si="10"/>
        <v>Average</v>
      </c>
      <c r="J78" t="str">
        <f t="shared" si="11"/>
        <v>Medium Discount</v>
      </c>
    </row>
    <row r="79" spans="1:10" x14ac:dyDescent="0.25">
      <c r="A79" t="s">
        <v>33</v>
      </c>
      <c r="B79" s="4">
        <v>1758</v>
      </c>
      <c r="C79" s="4">
        <v>2499</v>
      </c>
      <c r="D79" s="1">
        <v>0.3</v>
      </c>
      <c r="E79">
        <v>-20</v>
      </c>
      <c r="F79">
        <v>4.0999999999999996</v>
      </c>
      <c r="G79">
        <f t="shared" si="8"/>
        <v>20</v>
      </c>
      <c r="H79" s="4">
        <f t="shared" si="9"/>
        <v>741</v>
      </c>
      <c r="I79" t="str">
        <f t="shared" si="10"/>
        <v>Average</v>
      </c>
      <c r="J79" t="str">
        <f t="shared" si="11"/>
        <v>Medium Discount</v>
      </c>
    </row>
    <row r="80" spans="1:10" x14ac:dyDescent="0.25">
      <c r="A80" t="s">
        <v>73</v>
      </c>
      <c r="B80" s="4">
        <v>2300</v>
      </c>
      <c r="C80" s="4">
        <v>3240</v>
      </c>
      <c r="D80" s="1">
        <v>0.28999999999999998</v>
      </c>
      <c r="E80">
        <v>-5</v>
      </c>
      <c r="F80">
        <v>3</v>
      </c>
      <c r="G80">
        <f t="shared" si="8"/>
        <v>5</v>
      </c>
      <c r="H80" s="4">
        <f t="shared" si="9"/>
        <v>940</v>
      </c>
      <c r="I80" t="str">
        <f t="shared" si="10"/>
        <v>Average</v>
      </c>
      <c r="J80" t="str">
        <f t="shared" si="11"/>
        <v>Medium Discount</v>
      </c>
    </row>
    <row r="81" spans="1:10" x14ac:dyDescent="0.25">
      <c r="A81" t="s">
        <v>38</v>
      </c>
      <c r="B81" s="4">
        <v>1940</v>
      </c>
      <c r="C81" s="4">
        <v>2650</v>
      </c>
      <c r="D81" s="1">
        <v>0.27</v>
      </c>
      <c r="E81">
        <v>-20</v>
      </c>
      <c r="F81">
        <v>4.7</v>
      </c>
      <c r="G81">
        <f t="shared" si="8"/>
        <v>20</v>
      </c>
      <c r="H81" s="4">
        <f t="shared" si="9"/>
        <v>710</v>
      </c>
      <c r="I81" t="str">
        <f t="shared" si="10"/>
        <v>Excellent</v>
      </c>
      <c r="J81" t="str">
        <f t="shared" si="11"/>
        <v>Medium Discount</v>
      </c>
    </row>
    <row r="82" spans="1:10" x14ac:dyDescent="0.25">
      <c r="A82" t="s">
        <v>39</v>
      </c>
      <c r="B82" s="4">
        <v>1980</v>
      </c>
      <c r="C82" s="4">
        <v>2699</v>
      </c>
      <c r="D82" s="1">
        <v>0.27</v>
      </c>
      <c r="E82">
        <v>-32</v>
      </c>
      <c r="F82">
        <v>4.5</v>
      </c>
      <c r="G82">
        <f t="shared" si="8"/>
        <v>32</v>
      </c>
      <c r="H82" s="4">
        <f t="shared" si="9"/>
        <v>719</v>
      </c>
      <c r="I82" t="str">
        <f t="shared" si="10"/>
        <v>Excellent</v>
      </c>
      <c r="J82" t="str">
        <f t="shared" si="11"/>
        <v>Medium Discount</v>
      </c>
    </row>
    <row r="83" spans="1:10" x14ac:dyDescent="0.25">
      <c r="A83" t="s">
        <v>62</v>
      </c>
      <c r="B83" s="4">
        <v>2799</v>
      </c>
      <c r="C83" s="4">
        <v>3810</v>
      </c>
      <c r="D83" s="1">
        <v>0.27</v>
      </c>
      <c r="E83" t="s">
        <v>114</v>
      </c>
      <c r="F83" t="s">
        <v>114</v>
      </c>
      <c r="G83" t="str">
        <f t="shared" si="8"/>
        <v>Unknown</v>
      </c>
      <c r="H83" s="4">
        <f t="shared" si="9"/>
        <v>1011</v>
      </c>
      <c r="I83" t="str">
        <f t="shared" si="10"/>
        <v>Unknown</v>
      </c>
      <c r="J83" t="str">
        <f t="shared" si="11"/>
        <v>Medium Discount</v>
      </c>
    </row>
    <row r="84" spans="1:10" x14ac:dyDescent="0.25">
      <c r="A84" t="s">
        <v>9</v>
      </c>
      <c r="B84" s="4">
        <v>1740</v>
      </c>
      <c r="C84" s="4">
        <v>2356</v>
      </c>
      <c r="D84" s="1">
        <v>0.26</v>
      </c>
      <c r="E84">
        <v>-5</v>
      </c>
      <c r="F84">
        <v>4.8</v>
      </c>
      <c r="G84">
        <f t="shared" si="8"/>
        <v>5</v>
      </c>
      <c r="H84" s="4">
        <f t="shared" si="9"/>
        <v>616</v>
      </c>
      <c r="I84" t="str">
        <f t="shared" si="10"/>
        <v>Excellent</v>
      </c>
      <c r="J84" t="str">
        <f t="shared" si="11"/>
        <v>Medium Discount</v>
      </c>
    </row>
    <row r="85" spans="1:10" x14ac:dyDescent="0.25">
      <c r="A85" t="s">
        <v>7</v>
      </c>
      <c r="B85" s="4">
        <v>2199</v>
      </c>
      <c r="C85" s="4">
        <v>2923</v>
      </c>
      <c r="D85" s="1">
        <v>0.25</v>
      </c>
      <c r="E85">
        <v>-24</v>
      </c>
      <c r="F85">
        <v>4.5999999999999996</v>
      </c>
      <c r="G85">
        <f t="shared" si="8"/>
        <v>24</v>
      </c>
      <c r="H85" s="4">
        <f t="shared" si="9"/>
        <v>724</v>
      </c>
      <c r="I85" t="str">
        <f t="shared" si="10"/>
        <v>Excellent</v>
      </c>
      <c r="J85" t="str">
        <f t="shared" si="11"/>
        <v>Medium Discount</v>
      </c>
    </row>
    <row r="86" spans="1:10" x14ac:dyDescent="0.25">
      <c r="A86" t="s">
        <v>11</v>
      </c>
      <c r="B86" s="4">
        <v>2319</v>
      </c>
      <c r="C86" s="4">
        <v>3032</v>
      </c>
      <c r="D86" s="1">
        <v>0.24</v>
      </c>
      <c r="E86">
        <v>-55</v>
      </c>
      <c r="F86">
        <v>4.5999999999999996</v>
      </c>
      <c r="G86">
        <f t="shared" si="8"/>
        <v>55</v>
      </c>
      <c r="H86" s="4">
        <f t="shared" si="9"/>
        <v>713</v>
      </c>
      <c r="I86" t="str">
        <f t="shared" si="10"/>
        <v>Excellent</v>
      </c>
      <c r="J86" t="str">
        <f t="shared" si="11"/>
        <v>Medium Discount</v>
      </c>
    </row>
    <row r="87" spans="1:10" x14ac:dyDescent="0.25">
      <c r="A87" t="s">
        <v>106</v>
      </c>
      <c r="B87" s="4">
        <v>198</v>
      </c>
      <c r="C87" s="4">
        <v>260</v>
      </c>
      <c r="D87" s="1">
        <v>0.24</v>
      </c>
      <c r="E87" t="s">
        <v>114</v>
      </c>
      <c r="F87" t="s">
        <v>114</v>
      </c>
      <c r="G87" t="str">
        <f t="shared" si="8"/>
        <v>Unknown</v>
      </c>
      <c r="H87" s="4">
        <f t="shared" si="9"/>
        <v>62</v>
      </c>
      <c r="I87" t="str">
        <f t="shared" si="10"/>
        <v>Unknown</v>
      </c>
      <c r="J87" t="str">
        <f t="shared" si="11"/>
        <v>Medium Discount</v>
      </c>
    </row>
    <row r="88" spans="1:10" x14ac:dyDescent="0.25">
      <c r="A88" t="s">
        <v>28</v>
      </c>
      <c r="B88" s="4">
        <v>1650</v>
      </c>
      <c r="C88" s="4">
        <v>2150</v>
      </c>
      <c r="D88" s="1">
        <v>0.23</v>
      </c>
      <c r="E88">
        <v>-14</v>
      </c>
      <c r="F88">
        <v>4.4000000000000004</v>
      </c>
      <c r="G88">
        <f t="shared" si="8"/>
        <v>14</v>
      </c>
      <c r="H88" s="4">
        <f t="shared" si="9"/>
        <v>500</v>
      </c>
      <c r="I88" t="str">
        <f t="shared" si="10"/>
        <v>Average</v>
      </c>
      <c r="J88" t="str">
        <f t="shared" si="11"/>
        <v>Medium Discount</v>
      </c>
    </row>
    <row r="89" spans="1:10" x14ac:dyDescent="0.25">
      <c r="A89" t="s">
        <v>68</v>
      </c>
      <c r="B89" s="4">
        <v>1220</v>
      </c>
      <c r="C89" s="4">
        <v>1555</v>
      </c>
      <c r="D89" s="1">
        <v>0.22</v>
      </c>
      <c r="E89">
        <v>-16</v>
      </c>
      <c r="F89">
        <v>2.9</v>
      </c>
      <c r="G89">
        <f t="shared" si="8"/>
        <v>16</v>
      </c>
      <c r="H89" s="4">
        <f t="shared" si="9"/>
        <v>335</v>
      </c>
      <c r="I89" t="str">
        <f t="shared" si="10"/>
        <v>Poor</v>
      </c>
      <c r="J89" t="str">
        <f t="shared" si="11"/>
        <v>Medium Discount</v>
      </c>
    </row>
    <row r="90" spans="1:10" x14ac:dyDescent="0.25">
      <c r="A90" t="s">
        <v>56</v>
      </c>
      <c r="B90" s="4">
        <v>299</v>
      </c>
      <c r="C90" s="4">
        <v>384</v>
      </c>
      <c r="D90" s="1">
        <v>0.22</v>
      </c>
      <c r="E90" t="s">
        <v>114</v>
      </c>
      <c r="F90" t="s">
        <v>114</v>
      </c>
      <c r="G90" t="str">
        <f t="shared" si="8"/>
        <v>Unknown</v>
      </c>
      <c r="H90" s="4">
        <f t="shared" si="9"/>
        <v>85</v>
      </c>
      <c r="I90" t="str">
        <f t="shared" si="10"/>
        <v>Unknown</v>
      </c>
      <c r="J90" t="str">
        <f t="shared" si="11"/>
        <v>Medium Discount</v>
      </c>
    </row>
    <row r="91" spans="1:10" x14ac:dyDescent="0.25">
      <c r="A91" t="s">
        <v>103</v>
      </c>
      <c r="B91" s="4">
        <v>3640</v>
      </c>
      <c r="C91" s="4">
        <v>4588</v>
      </c>
      <c r="D91" s="1">
        <v>0.21</v>
      </c>
      <c r="E91">
        <v>-1</v>
      </c>
      <c r="F91">
        <v>5</v>
      </c>
      <c r="G91">
        <f t="shared" si="8"/>
        <v>1</v>
      </c>
      <c r="H91" s="4">
        <f t="shared" si="9"/>
        <v>948</v>
      </c>
      <c r="I91" t="str">
        <f t="shared" si="10"/>
        <v>Excellent</v>
      </c>
      <c r="J91" t="str">
        <f t="shared" si="11"/>
        <v>Medium Discount</v>
      </c>
    </row>
    <row r="92" spans="1:10" x14ac:dyDescent="0.25">
      <c r="A92" t="s">
        <v>15</v>
      </c>
      <c r="B92" s="4">
        <v>799</v>
      </c>
      <c r="C92" s="4">
        <v>999</v>
      </c>
      <c r="D92" s="1">
        <v>0.2</v>
      </c>
      <c r="E92">
        <v>-12</v>
      </c>
      <c r="F92">
        <v>4.0999999999999996</v>
      </c>
      <c r="G92">
        <f t="shared" si="8"/>
        <v>12</v>
      </c>
      <c r="H92" s="4">
        <f t="shared" si="9"/>
        <v>200</v>
      </c>
      <c r="I92" t="str">
        <f t="shared" si="10"/>
        <v>Average</v>
      </c>
      <c r="J92" t="str">
        <f t="shared" si="11"/>
        <v>Medium Discount</v>
      </c>
    </row>
    <row r="93" spans="1:10" x14ac:dyDescent="0.25">
      <c r="A93" t="s">
        <v>23</v>
      </c>
      <c r="B93" s="4">
        <v>2999</v>
      </c>
      <c r="C93" s="4">
        <v>3699</v>
      </c>
      <c r="D93" s="1">
        <v>0.19</v>
      </c>
      <c r="E93">
        <v>-5</v>
      </c>
      <c r="F93">
        <v>4.5999999999999996</v>
      </c>
      <c r="G93">
        <f t="shared" si="8"/>
        <v>5</v>
      </c>
      <c r="H93" s="4">
        <f t="shared" si="9"/>
        <v>700</v>
      </c>
      <c r="I93" t="str">
        <f t="shared" si="10"/>
        <v>Excellent</v>
      </c>
      <c r="J93" t="str">
        <f t="shared" si="11"/>
        <v>Low Discount</v>
      </c>
    </row>
    <row r="94" spans="1:10" x14ac:dyDescent="0.25">
      <c r="A94" t="s">
        <v>31</v>
      </c>
      <c r="B94" s="4">
        <v>2880</v>
      </c>
      <c r="C94" s="4">
        <v>3520</v>
      </c>
      <c r="D94" s="1">
        <v>0.18</v>
      </c>
      <c r="E94">
        <v>-12</v>
      </c>
      <c r="F94">
        <v>3.8</v>
      </c>
      <c r="G94">
        <f t="shared" si="8"/>
        <v>12</v>
      </c>
      <c r="H94" s="4">
        <f t="shared" si="9"/>
        <v>640</v>
      </c>
      <c r="I94" t="str">
        <f t="shared" si="10"/>
        <v>Average</v>
      </c>
      <c r="J94" t="str">
        <f t="shared" si="11"/>
        <v>Low Discount</v>
      </c>
    </row>
    <row r="95" spans="1:10" x14ac:dyDescent="0.25">
      <c r="A95" t="s">
        <v>90</v>
      </c>
      <c r="B95" s="4">
        <v>1468</v>
      </c>
      <c r="C95" s="4">
        <v>1699</v>
      </c>
      <c r="D95" s="1">
        <v>0.14000000000000001</v>
      </c>
      <c r="E95" t="s">
        <v>114</v>
      </c>
      <c r="F95" t="s">
        <v>114</v>
      </c>
      <c r="G95" t="str">
        <f t="shared" si="8"/>
        <v>Unknown</v>
      </c>
      <c r="H95" s="4">
        <f t="shared" si="9"/>
        <v>231</v>
      </c>
      <c r="I95" t="str">
        <f t="shared" si="10"/>
        <v>Unknown</v>
      </c>
      <c r="J95" t="str">
        <f t="shared" si="11"/>
        <v>Low Discount</v>
      </c>
    </row>
    <row r="96" spans="1:10" x14ac:dyDescent="0.25">
      <c r="A96" t="s">
        <v>87</v>
      </c>
      <c r="B96" s="4">
        <v>1466</v>
      </c>
      <c r="C96" s="4">
        <v>1699</v>
      </c>
      <c r="D96" s="1">
        <v>0.14000000000000001</v>
      </c>
      <c r="E96" t="s">
        <v>114</v>
      </c>
      <c r="F96" t="s">
        <v>114</v>
      </c>
      <c r="G96" t="str">
        <f t="shared" si="8"/>
        <v>Unknown</v>
      </c>
      <c r="H96" s="4">
        <f t="shared" si="9"/>
        <v>233</v>
      </c>
      <c r="I96" t="str">
        <f t="shared" si="10"/>
        <v>Unknown</v>
      </c>
      <c r="J96" t="str">
        <f t="shared" si="11"/>
        <v>Low Discount</v>
      </c>
    </row>
    <row r="97" spans="1:10" x14ac:dyDescent="0.25">
      <c r="A97" t="s">
        <v>63</v>
      </c>
      <c r="B97" s="4">
        <v>2170</v>
      </c>
      <c r="C97" s="4">
        <v>2500</v>
      </c>
      <c r="D97" s="1">
        <v>0.13</v>
      </c>
      <c r="E97">
        <v>-6</v>
      </c>
      <c r="F97">
        <v>2.5</v>
      </c>
      <c r="G97">
        <f t="shared" si="8"/>
        <v>6</v>
      </c>
      <c r="H97" s="4">
        <f t="shared" si="9"/>
        <v>330</v>
      </c>
      <c r="I97" t="str">
        <f t="shared" si="10"/>
        <v>Poor</v>
      </c>
      <c r="J97" t="str">
        <f t="shared" si="11"/>
        <v>Low Discount</v>
      </c>
    </row>
    <row r="98" spans="1:10" x14ac:dyDescent="0.25">
      <c r="A98" t="s">
        <v>89</v>
      </c>
      <c r="B98" s="4">
        <v>799</v>
      </c>
      <c r="C98" s="4">
        <v>900</v>
      </c>
      <c r="D98" s="1">
        <v>0.11</v>
      </c>
      <c r="E98" t="s">
        <v>114</v>
      </c>
      <c r="F98" t="s">
        <v>114</v>
      </c>
      <c r="G98" t="str">
        <f t="shared" ref="G98:G110" si="12">IFERROR(ABS(E98),E98)</f>
        <v>Unknown</v>
      </c>
      <c r="H98" s="4">
        <f t="shared" ref="H98:H110" si="13">C98-B98</f>
        <v>101</v>
      </c>
      <c r="I98" t="str">
        <f t="shared" ref="I98:I110" si="14">IF(F98="Unknown","Unknown",IF(F98&lt;3,"Poor",IF(F98&lt;=4.4,"Average","Excellent")))</f>
        <v>Unknown</v>
      </c>
      <c r="J98" t="str">
        <f t="shared" ref="J98:J110" si="15">IF(D98&lt;20%,"Low Discount",IF(D98&lt;=40%,"Medium Discount","High Discount"))</f>
        <v>Low Discount</v>
      </c>
    </row>
    <row r="99" spans="1:10" x14ac:dyDescent="0.25">
      <c r="A99" t="s">
        <v>10</v>
      </c>
      <c r="B99" s="4">
        <v>2999</v>
      </c>
      <c r="C99" s="4">
        <v>3290</v>
      </c>
      <c r="D99" s="1">
        <v>0.09</v>
      </c>
      <c r="E99">
        <v>-15</v>
      </c>
      <c r="F99">
        <v>4</v>
      </c>
      <c r="G99">
        <f t="shared" si="12"/>
        <v>15</v>
      </c>
      <c r="H99" s="4">
        <f t="shared" si="13"/>
        <v>291</v>
      </c>
      <c r="I99" t="str">
        <f t="shared" si="14"/>
        <v>Average</v>
      </c>
      <c r="J99" t="str">
        <f t="shared" si="15"/>
        <v>Low Discount</v>
      </c>
    </row>
    <row r="100" spans="1:10" x14ac:dyDescent="0.25">
      <c r="A100" t="s">
        <v>97</v>
      </c>
      <c r="B100" s="4">
        <v>1526</v>
      </c>
      <c r="C100" s="4">
        <v>1660</v>
      </c>
      <c r="D100" s="1">
        <v>0.08</v>
      </c>
      <c r="E100" t="s">
        <v>114</v>
      </c>
      <c r="F100" t="s">
        <v>114</v>
      </c>
      <c r="G100" t="str">
        <f t="shared" si="12"/>
        <v>Unknown</v>
      </c>
      <c r="H100" s="4">
        <f t="shared" si="13"/>
        <v>134</v>
      </c>
      <c r="I100" t="str">
        <f t="shared" si="14"/>
        <v>Unknown</v>
      </c>
      <c r="J100" t="str">
        <f t="shared" si="15"/>
        <v>Low Discount</v>
      </c>
    </row>
    <row r="101" spans="1:10" x14ac:dyDescent="0.25">
      <c r="A101" t="s">
        <v>100</v>
      </c>
      <c r="B101" s="4">
        <v>3546</v>
      </c>
      <c r="C101" s="4">
        <v>3699</v>
      </c>
      <c r="D101" s="1">
        <v>0.04</v>
      </c>
      <c r="E101" t="s">
        <v>114</v>
      </c>
      <c r="F101" t="s">
        <v>114</v>
      </c>
      <c r="G101" t="str">
        <f t="shared" si="12"/>
        <v>Unknown</v>
      </c>
      <c r="H101" s="4">
        <f t="shared" si="13"/>
        <v>153</v>
      </c>
      <c r="I101" t="str">
        <f t="shared" si="14"/>
        <v>Unknown</v>
      </c>
      <c r="J101" t="str">
        <f t="shared" si="15"/>
        <v>Low Discount</v>
      </c>
    </row>
    <row r="102" spans="1:10" x14ac:dyDescent="0.25">
      <c r="A102" t="s">
        <v>80</v>
      </c>
      <c r="B102" s="4">
        <v>1732</v>
      </c>
      <c r="C102" s="4">
        <v>1799</v>
      </c>
      <c r="D102" s="1">
        <v>0.04</v>
      </c>
      <c r="E102" t="s">
        <v>114</v>
      </c>
      <c r="F102" t="s">
        <v>114</v>
      </c>
      <c r="G102" t="str">
        <f t="shared" si="12"/>
        <v>Unknown</v>
      </c>
      <c r="H102" s="4">
        <f t="shared" si="13"/>
        <v>67</v>
      </c>
      <c r="I102" t="str">
        <f t="shared" si="14"/>
        <v>Unknown</v>
      </c>
      <c r="J102" t="str">
        <f t="shared" si="15"/>
        <v>Low Discount</v>
      </c>
    </row>
    <row r="103" spans="1:10" x14ac:dyDescent="0.25">
      <c r="A103" t="s">
        <v>57</v>
      </c>
      <c r="B103" s="4">
        <v>1459</v>
      </c>
      <c r="C103" s="4">
        <v>1499</v>
      </c>
      <c r="D103" s="1">
        <v>0.03</v>
      </c>
      <c r="E103" t="s">
        <v>114</v>
      </c>
      <c r="F103" t="s">
        <v>114</v>
      </c>
      <c r="G103" t="str">
        <f t="shared" si="12"/>
        <v>Unknown</v>
      </c>
      <c r="H103" s="4">
        <f t="shared" si="13"/>
        <v>40</v>
      </c>
      <c r="I103" t="str">
        <f t="shared" si="14"/>
        <v>Unknown</v>
      </c>
      <c r="J103" t="str">
        <f t="shared" si="15"/>
        <v>Low Discount</v>
      </c>
    </row>
    <row r="104" spans="1:10" x14ac:dyDescent="0.25">
      <c r="A104" t="s">
        <v>48</v>
      </c>
      <c r="B104" s="4">
        <v>2132</v>
      </c>
      <c r="C104" s="4">
        <v>2169</v>
      </c>
      <c r="D104" s="1">
        <v>0.02</v>
      </c>
      <c r="E104" t="s">
        <v>114</v>
      </c>
      <c r="F104" t="s">
        <v>114</v>
      </c>
      <c r="G104" t="str">
        <f t="shared" si="12"/>
        <v>Unknown</v>
      </c>
      <c r="H104" s="4">
        <f t="shared" si="13"/>
        <v>37</v>
      </c>
      <c r="I104" t="str">
        <f t="shared" si="14"/>
        <v>Unknown</v>
      </c>
      <c r="J104" t="str">
        <f t="shared" si="15"/>
        <v>Low Discount</v>
      </c>
    </row>
    <row r="105" spans="1:10" x14ac:dyDescent="0.25">
      <c r="A105" t="s">
        <v>110</v>
      </c>
      <c r="B105" s="4">
        <v>1768</v>
      </c>
      <c r="C105" s="4">
        <v>1799</v>
      </c>
      <c r="D105" s="1">
        <v>0.02</v>
      </c>
      <c r="E105" t="s">
        <v>114</v>
      </c>
      <c r="F105" t="s">
        <v>114</v>
      </c>
      <c r="G105" t="str">
        <f t="shared" si="12"/>
        <v>Unknown</v>
      </c>
      <c r="H105" s="4">
        <f t="shared" si="13"/>
        <v>31</v>
      </c>
      <c r="I105" t="str">
        <f t="shared" si="14"/>
        <v>Unknown</v>
      </c>
      <c r="J105" t="str">
        <f t="shared" si="15"/>
        <v>Low Discount</v>
      </c>
    </row>
    <row r="106" spans="1:10" x14ac:dyDescent="0.25">
      <c r="A106" t="s">
        <v>85</v>
      </c>
      <c r="B106" s="4">
        <v>1666</v>
      </c>
      <c r="C106" s="4">
        <v>1699</v>
      </c>
      <c r="D106" s="1">
        <v>0.02</v>
      </c>
      <c r="E106" t="s">
        <v>114</v>
      </c>
      <c r="F106" t="s">
        <v>114</v>
      </c>
      <c r="G106" t="str">
        <f t="shared" si="12"/>
        <v>Unknown</v>
      </c>
      <c r="H106" s="4">
        <f t="shared" si="13"/>
        <v>33</v>
      </c>
      <c r="I106" t="str">
        <f t="shared" si="14"/>
        <v>Unknown</v>
      </c>
      <c r="J106" t="str">
        <f t="shared" si="15"/>
        <v>Low Discount</v>
      </c>
    </row>
    <row r="107" spans="1:10" x14ac:dyDescent="0.25">
      <c r="A107" t="s">
        <v>55</v>
      </c>
      <c r="B107" s="4">
        <v>1660</v>
      </c>
      <c r="C107" s="4">
        <v>1699</v>
      </c>
      <c r="D107" s="1">
        <v>0.02</v>
      </c>
      <c r="E107" t="s">
        <v>114</v>
      </c>
      <c r="F107" t="s">
        <v>114</v>
      </c>
      <c r="G107" t="str">
        <f t="shared" si="12"/>
        <v>Unknown</v>
      </c>
      <c r="H107" s="4">
        <f t="shared" si="13"/>
        <v>39</v>
      </c>
      <c r="I107" t="str">
        <f t="shared" si="14"/>
        <v>Unknown</v>
      </c>
      <c r="J107" t="str">
        <f t="shared" si="15"/>
        <v>Low Discount</v>
      </c>
    </row>
    <row r="108" spans="1:10" x14ac:dyDescent="0.25">
      <c r="A108" t="s">
        <v>109</v>
      </c>
      <c r="B108" s="4">
        <v>1658</v>
      </c>
      <c r="C108" s="4">
        <v>1699</v>
      </c>
      <c r="D108" s="1">
        <v>0.02</v>
      </c>
      <c r="E108" t="s">
        <v>114</v>
      </c>
      <c r="F108" t="s">
        <v>114</v>
      </c>
      <c r="G108" t="str">
        <f t="shared" si="12"/>
        <v>Unknown</v>
      </c>
      <c r="H108" s="4">
        <f t="shared" si="13"/>
        <v>41</v>
      </c>
      <c r="I108" t="str">
        <f t="shared" si="14"/>
        <v>Unknown</v>
      </c>
      <c r="J108" t="str">
        <f t="shared" si="15"/>
        <v>Low Discount</v>
      </c>
    </row>
    <row r="109" spans="1:10" x14ac:dyDescent="0.25">
      <c r="A109" t="s">
        <v>98</v>
      </c>
      <c r="B109" s="4">
        <v>1462</v>
      </c>
      <c r="C109" s="4">
        <v>1499</v>
      </c>
      <c r="D109" s="1">
        <v>0.02</v>
      </c>
      <c r="E109" t="s">
        <v>114</v>
      </c>
      <c r="F109" t="s">
        <v>114</v>
      </c>
      <c r="G109" t="str">
        <f t="shared" si="12"/>
        <v>Unknown</v>
      </c>
      <c r="H109" s="4">
        <f t="shared" si="13"/>
        <v>37</v>
      </c>
      <c r="I109" t="str">
        <f t="shared" si="14"/>
        <v>Unknown</v>
      </c>
      <c r="J109" t="str">
        <f t="shared" si="15"/>
        <v>Low Discount</v>
      </c>
    </row>
    <row r="110" spans="1:10" x14ac:dyDescent="0.25">
      <c r="A110" t="s">
        <v>105</v>
      </c>
      <c r="B110" s="4">
        <v>1875</v>
      </c>
      <c r="C110" s="4">
        <v>1899</v>
      </c>
      <c r="D110" s="1">
        <v>0.01</v>
      </c>
      <c r="E110" t="s">
        <v>114</v>
      </c>
      <c r="F110" t="s">
        <v>114</v>
      </c>
      <c r="G110" t="str">
        <f t="shared" si="12"/>
        <v>Unknown</v>
      </c>
      <c r="H110" s="4">
        <f t="shared" si="13"/>
        <v>24</v>
      </c>
      <c r="I110" t="str">
        <f t="shared" si="14"/>
        <v>Unknown</v>
      </c>
      <c r="J110" t="str">
        <f t="shared" si="15"/>
        <v>Low Discount</v>
      </c>
    </row>
    <row r="111" spans="1:10" x14ac:dyDescent="0.25">
      <c r="A111" t="s">
        <v>120</v>
      </c>
      <c r="B111" s="4">
        <f>SUBTOTAL(101,Table3[Current price])</f>
        <v>1208.2568807339449</v>
      </c>
      <c r="C111" s="4">
        <f>SUBTOTAL(101,Table3[old price])</f>
        <v>1837.7522935779816</v>
      </c>
      <c r="D111" s="1">
        <f>SUBTOTAL(101,Table3[Discount])</f>
        <v>0.36385321100917462</v>
      </c>
      <c r="F111">
        <f>SUBTOTAL(101,Table3[Ratings])</f>
        <v>3.8894736842105253</v>
      </c>
      <c r="J111">
        <f>SUBTOTAL(103,Table3[Discount Category])</f>
        <v>109</v>
      </c>
    </row>
    <row r="114" spans="1:6" x14ac:dyDescent="0.25">
      <c r="A114" s="2" t="s">
        <v>121</v>
      </c>
      <c r="B114" s="4">
        <v>1208</v>
      </c>
      <c r="C114" s="4">
        <v>1839</v>
      </c>
      <c r="D114" s="1">
        <v>0.36</v>
      </c>
      <c r="F114">
        <v>3.8894739999999999</v>
      </c>
    </row>
    <row r="115" spans="1:6" x14ac:dyDescent="0.25">
      <c r="A115" s="2" t="s">
        <v>122</v>
      </c>
    </row>
    <row r="116" spans="1:6" x14ac:dyDescent="0.25">
      <c r="A116" s="2" t="s">
        <v>123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9BB9-1E45-4F01-B1C2-0C688B8D9F99}">
  <dimension ref="A3:B7"/>
  <sheetViews>
    <sheetView workbookViewId="0">
      <selection activeCell="H7" sqref="H7"/>
    </sheetView>
  </sheetViews>
  <sheetFormatPr defaultRowHeight="15" x14ac:dyDescent="0.25"/>
  <cols>
    <col min="1" max="1" width="15" bestFit="1" customWidth="1"/>
    <col min="2" max="2" width="14.7109375" bestFit="1" customWidth="1"/>
  </cols>
  <sheetData>
    <row r="3" spans="1:2" x14ac:dyDescent="0.25">
      <c r="A3" s="6" t="s">
        <v>124</v>
      </c>
      <c r="B3" t="s">
        <v>133</v>
      </c>
    </row>
    <row r="4" spans="1:2" x14ac:dyDescent="0.25">
      <c r="A4" s="7" t="s">
        <v>125</v>
      </c>
      <c r="B4">
        <v>59</v>
      </c>
    </row>
    <row r="5" spans="1:2" x14ac:dyDescent="0.25">
      <c r="A5" s="7" t="s">
        <v>126</v>
      </c>
      <c r="B5">
        <v>18</v>
      </c>
    </row>
    <row r="6" spans="1:2" x14ac:dyDescent="0.25">
      <c r="A6" s="7" t="s">
        <v>127</v>
      </c>
      <c r="B6">
        <v>32</v>
      </c>
    </row>
    <row r="7" spans="1:2" x14ac:dyDescent="0.25">
      <c r="A7" s="7" t="s">
        <v>128</v>
      </c>
      <c r="B7">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D5F52-6372-427D-B9D3-E610A9FFC667}">
  <dimension ref="A3:B4"/>
  <sheetViews>
    <sheetView workbookViewId="0">
      <selection activeCell="B4" sqref="B4"/>
    </sheetView>
  </sheetViews>
  <sheetFormatPr defaultRowHeight="15" x14ac:dyDescent="0.25"/>
  <cols>
    <col min="1" max="1" width="14.7109375" bestFit="1" customWidth="1"/>
    <col min="2" max="2" width="22.28515625" bestFit="1" customWidth="1"/>
  </cols>
  <sheetData>
    <row r="3" spans="1:2" x14ac:dyDescent="0.25">
      <c r="A3" t="s">
        <v>133</v>
      </c>
      <c r="B3" t="s">
        <v>136</v>
      </c>
    </row>
    <row r="4" spans="1:2" x14ac:dyDescent="0.25">
      <c r="A4">
        <v>109</v>
      </c>
      <c r="B4">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195F5-CC84-4F4C-917E-BD50B57D6183}">
  <dimension ref="A2:D4"/>
  <sheetViews>
    <sheetView workbookViewId="0">
      <selection activeCell="D4" sqref="D4"/>
    </sheetView>
  </sheetViews>
  <sheetFormatPr defaultRowHeight="15" x14ac:dyDescent="0.25"/>
  <cols>
    <col min="1" max="1" width="20.85546875" bestFit="1" customWidth="1"/>
    <col min="2" max="3" width="17.28515625" bestFit="1" customWidth="1"/>
    <col min="4" max="5" width="16" bestFit="1" customWidth="1"/>
  </cols>
  <sheetData>
    <row r="2" spans="1:4" x14ac:dyDescent="0.25">
      <c r="A2" t="s">
        <v>145</v>
      </c>
    </row>
    <row r="3" spans="1:4" x14ac:dyDescent="0.25">
      <c r="A3" t="s">
        <v>134</v>
      </c>
      <c r="B3" t="s">
        <v>135</v>
      </c>
      <c r="C3" t="s">
        <v>130</v>
      </c>
      <c r="D3" t="s">
        <v>129</v>
      </c>
    </row>
    <row r="4" spans="1:4" x14ac:dyDescent="0.25">
      <c r="A4" s="4">
        <v>1208.2568807339449</v>
      </c>
      <c r="B4" s="4">
        <v>1837.7522935779816</v>
      </c>
      <c r="C4" s="1">
        <v>0.36385321100917428</v>
      </c>
      <c r="D4">
        <v>3.8894736842105262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D88A-0594-4D79-B973-73AD1667ECBF}">
  <dimension ref="A2:C7"/>
  <sheetViews>
    <sheetView workbookViewId="0">
      <selection activeCell="A2" sqref="A2"/>
    </sheetView>
  </sheetViews>
  <sheetFormatPr defaultRowHeight="15" x14ac:dyDescent="0.25"/>
  <cols>
    <col min="1" max="1" width="15" bestFit="1" customWidth="1"/>
    <col min="2" max="2" width="17.28515625" bestFit="1" customWidth="1"/>
    <col min="3" max="3" width="16" bestFit="1" customWidth="1"/>
  </cols>
  <sheetData>
    <row r="2" spans="1:3" x14ac:dyDescent="0.25">
      <c r="A2" t="s">
        <v>146</v>
      </c>
    </row>
    <row r="3" spans="1:3" x14ac:dyDescent="0.25">
      <c r="A3" s="6" t="s">
        <v>124</v>
      </c>
      <c r="B3" t="s">
        <v>130</v>
      </c>
      <c r="C3" t="s">
        <v>129</v>
      </c>
    </row>
    <row r="4" spans="1:3" x14ac:dyDescent="0.25">
      <c r="A4" s="7" t="s">
        <v>125</v>
      </c>
      <c r="B4" s="1">
        <v>0.4820338983050847</v>
      </c>
      <c r="C4">
        <v>3.6133333333333328</v>
      </c>
    </row>
    <row r="5" spans="1:3" x14ac:dyDescent="0.25">
      <c r="A5" s="7" t="s">
        <v>126</v>
      </c>
      <c r="B5" s="1">
        <v>7.2222222222222243E-2</v>
      </c>
      <c r="C5">
        <v>3.7249999999999996</v>
      </c>
    </row>
    <row r="6" spans="1:3" x14ac:dyDescent="0.25">
      <c r="A6" s="7" t="s">
        <v>127</v>
      </c>
      <c r="B6" s="1">
        <v>0.31000000000000005</v>
      </c>
      <c r="C6">
        <v>4.2782608695652176</v>
      </c>
    </row>
    <row r="7" spans="1:3" x14ac:dyDescent="0.25">
      <c r="A7" s="7" t="s">
        <v>128</v>
      </c>
      <c r="B7" s="1">
        <v>0.36385321100917434</v>
      </c>
      <c r="C7">
        <v>3.8894736842105253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2208-A657-4433-AEAB-FD2EDDEA30C3}">
  <dimension ref="A2:B8"/>
  <sheetViews>
    <sheetView workbookViewId="0">
      <selection activeCell="B5" sqref="B5"/>
    </sheetView>
  </sheetViews>
  <sheetFormatPr defaultRowHeight="15" x14ac:dyDescent="0.25"/>
  <cols>
    <col min="1" max="1" width="12.42578125" bestFit="1" customWidth="1"/>
    <col min="2" max="2" width="14.7109375" bestFit="1" customWidth="1"/>
  </cols>
  <sheetData>
    <row r="2" spans="1:2" x14ac:dyDescent="0.25">
      <c r="A2" t="s">
        <v>147</v>
      </c>
    </row>
    <row r="3" spans="1:2" x14ac:dyDescent="0.25">
      <c r="A3" s="6" t="s">
        <v>124</v>
      </c>
      <c r="B3" t="s">
        <v>133</v>
      </c>
    </row>
    <row r="4" spans="1:2" x14ac:dyDescent="0.25">
      <c r="A4" s="7" t="s">
        <v>121</v>
      </c>
      <c r="B4">
        <v>22</v>
      </c>
    </row>
    <row r="5" spans="1:2" x14ac:dyDescent="0.25">
      <c r="A5" s="7" t="s">
        <v>131</v>
      </c>
      <c r="B5">
        <v>23</v>
      </c>
    </row>
    <row r="6" spans="1:2" x14ac:dyDescent="0.25">
      <c r="A6" s="7" t="s">
        <v>132</v>
      </c>
      <c r="B6">
        <v>12</v>
      </c>
    </row>
    <row r="7" spans="1:2" x14ac:dyDescent="0.25">
      <c r="A7" s="7" t="s">
        <v>114</v>
      </c>
      <c r="B7">
        <v>52</v>
      </c>
    </row>
    <row r="8" spans="1:2" x14ac:dyDescent="0.25">
      <c r="A8" s="7" t="s">
        <v>128</v>
      </c>
      <c r="B8">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28415-280A-4A2E-9862-33DB2E197E19}">
  <dimension ref="A2:B50"/>
  <sheetViews>
    <sheetView workbookViewId="0">
      <selection activeCell="A16" sqref="A16"/>
    </sheetView>
  </sheetViews>
  <sheetFormatPr defaultRowHeight="15" x14ac:dyDescent="0.25"/>
  <cols>
    <col min="1" max="1" width="12.42578125" bestFit="1" customWidth="1"/>
    <col min="2" max="2" width="22.28515625" bestFit="1" customWidth="1"/>
  </cols>
  <sheetData>
    <row r="2" spans="1:2" x14ac:dyDescent="0.25">
      <c r="A2" t="s">
        <v>142</v>
      </c>
    </row>
    <row r="3" spans="1:2" x14ac:dyDescent="0.25">
      <c r="A3" s="6" t="s">
        <v>124</v>
      </c>
      <c r="B3" t="s">
        <v>136</v>
      </c>
    </row>
    <row r="4" spans="1:2" x14ac:dyDescent="0.25">
      <c r="A4" s="8">
        <v>0.01</v>
      </c>
      <c r="B4">
        <v>1</v>
      </c>
    </row>
    <row r="5" spans="1:2" x14ac:dyDescent="0.25">
      <c r="A5" s="8">
        <v>0.02</v>
      </c>
      <c r="B5">
        <v>6</v>
      </c>
    </row>
    <row r="6" spans="1:2" x14ac:dyDescent="0.25">
      <c r="A6" s="8">
        <v>0.03</v>
      </c>
      <c r="B6">
        <v>1</v>
      </c>
    </row>
    <row r="7" spans="1:2" x14ac:dyDescent="0.25">
      <c r="A7" s="8">
        <v>0.04</v>
      </c>
      <c r="B7">
        <v>2</v>
      </c>
    </row>
    <row r="8" spans="1:2" x14ac:dyDescent="0.25">
      <c r="A8" s="8">
        <v>0.08</v>
      </c>
      <c r="B8">
        <v>1</v>
      </c>
    </row>
    <row r="9" spans="1:2" x14ac:dyDescent="0.25">
      <c r="A9" s="8">
        <v>0.09</v>
      </c>
      <c r="B9">
        <v>1</v>
      </c>
    </row>
    <row r="10" spans="1:2" x14ac:dyDescent="0.25">
      <c r="A10" s="8">
        <v>0.11</v>
      </c>
      <c r="B10">
        <v>1</v>
      </c>
    </row>
    <row r="11" spans="1:2" x14ac:dyDescent="0.25">
      <c r="A11" s="8">
        <v>0.13</v>
      </c>
      <c r="B11">
        <v>1</v>
      </c>
    </row>
    <row r="12" spans="1:2" x14ac:dyDescent="0.25">
      <c r="A12" s="8">
        <v>0.14000000000000001</v>
      </c>
      <c r="B12">
        <v>2</v>
      </c>
    </row>
    <row r="13" spans="1:2" x14ac:dyDescent="0.25">
      <c r="A13" s="8">
        <v>0.18</v>
      </c>
      <c r="B13">
        <v>1</v>
      </c>
    </row>
    <row r="14" spans="1:2" x14ac:dyDescent="0.25">
      <c r="A14" s="8">
        <v>0.19</v>
      </c>
      <c r="B14">
        <v>1</v>
      </c>
    </row>
    <row r="15" spans="1:2" x14ac:dyDescent="0.25">
      <c r="A15" s="8">
        <v>0.2</v>
      </c>
      <c r="B15">
        <v>1</v>
      </c>
    </row>
    <row r="16" spans="1:2" x14ac:dyDescent="0.25">
      <c r="A16" s="8">
        <v>0.21</v>
      </c>
      <c r="B16">
        <v>1</v>
      </c>
    </row>
    <row r="17" spans="1:2" x14ac:dyDescent="0.25">
      <c r="A17" s="8">
        <v>0.22</v>
      </c>
      <c r="B17">
        <v>2</v>
      </c>
    </row>
    <row r="18" spans="1:2" x14ac:dyDescent="0.25">
      <c r="A18" s="8">
        <v>0.23</v>
      </c>
      <c r="B18">
        <v>1</v>
      </c>
    </row>
    <row r="19" spans="1:2" x14ac:dyDescent="0.25">
      <c r="A19" s="8">
        <v>0.24</v>
      </c>
      <c r="B19">
        <v>2</v>
      </c>
    </row>
    <row r="20" spans="1:2" x14ac:dyDescent="0.25">
      <c r="A20" s="8">
        <v>0.25</v>
      </c>
      <c r="B20">
        <v>1</v>
      </c>
    </row>
    <row r="21" spans="1:2" x14ac:dyDescent="0.25">
      <c r="A21" s="8">
        <v>0.26</v>
      </c>
      <c r="B21">
        <v>1</v>
      </c>
    </row>
    <row r="22" spans="1:2" x14ac:dyDescent="0.25">
      <c r="A22" s="8">
        <v>0.27</v>
      </c>
      <c r="B22">
        <v>3</v>
      </c>
    </row>
    <row r="23" spans="1:2" x14ac:dyDescent="0.25">
      <c r="A23" s="8">
        <v>0.28999999999999998</v>
      </c>
      <c r="B23">
        <v>1</v>
      </c>
    </row>
    <row r="24" spans="1:2" x14ac:dyDescent="0.25">
      <c r="A24" s="8">
        <v>0.3</v>
      </c>
      <c r="B24">
        <v>1</v>
      </c>
    </row>
    <row r="25" spans="1:2" x14ac:dyDescent="0.25">
      <c r="A25" s="8">
        <v>0.32</v>
      </c>
      <c r="B25">
        <v>1</v>
      </c>
    </row>
    <row r="26" spans="1:2" x14ac:dyDescent="0.25">
      <c r="A26" s="8">
        <v>0.33</v>
      </c>
      <c r="B26">
        <v>2</v>
      </c>
    </row>
    <row r="27" spans="1:2" x14ac:dyDescent="0.25">
      <c r="A27" s="8">
        <v>0.34</v>
      </c>
      <c r="B27">
        <v>4</v>
      </c>
    </row>
    <row r="28" spans="1:2" x14ac:dyDescent="0.25">
      <c r="A28" s="8">
        <v>0.35</v>
      </c>
      <c r="B28">
        <v>2</v>
      </c>
    </row>
    <row r="29" spans="1:2" x14ac:dyDescent="0.25">
      <c r="A29" s="8">
        <v>0.36</v>
      </c>
      <c r="B29">
        <v>1</v>
      </c>
    </row>
    <row r="30" spans="1:2" x14ac:dyDescent="0.25">
      <c r="A30" s="8">
        <v>0.37</v>
      </c>
      <c r="B30">
        <v>2</v>
      </c>
    </row>
    <row r="31" spans="1:2" x14ac:dyDescent="0.25">
      <c r="A31" s="8">
        <v>0.38</v>
      </c>
      <c r="B31">
        <v>4</v>
      </c>
    </row>
    <row r="32" spans="1:2" x14ac:dyDescent="0.25">
      <c r="A32" s="8">
        <v>0.39</v>
      </c>
      <c r="B32">
        <v>1</v>
      </c>
    </row>
    <row r="33" spans="1:2" x14ac:dyDescent="0.25">
      <c r="A33" s="8">
        <v>0.4</v>
      </c>
      <c r="B33">
        <v>1</v>
      </c>
    </row>
    <row r="34" spans="1:2" x14ac:dyDescent="0.25">
      <c r="A34" s="8">
        <v>0.41</v>
      </c>
      <c r="B34">
        <v>3</v>
      </c>
    </row>
    <row r="35" spans="1:2" x14ac:dyDescent="0.25">
      <c r="A35" s="8">
        <v>0.42</v>
      </c>
      <c r="B35">
        <v>4</v>
      </c>
    </row>
    <row r="36" spans="1:2" x14ac:dyDescent="0.25">
      <c r="A36" s="8">
        <v>0.43</v>
      </c>
      <c r="B36">
        <v>4</v>
      </c>
    </row>
    <row r="37" spans="1:2" x14ac:dyDescent="0.25">
      <c r="A37" s="8">
        <v>0.45</v>
      </c>
      <c r="B37">
        <v>4</v>
      </c>
    </row>
    <row r="38" spans="1:2" x14ac:dyDescent="0.25">
      <c r="A38" s="8">
        <v>0.46</v>
      </c>
      <c r="B38">
        <v>3</v>
      </c>
    </row>
    <row r="39" spans="1:2" x14ac:dyDescent="0.25">
      <c r="A39" s="8">
        <v>0.47</v>
      </c>
      <c r="B39">
        <v>7</v>
      </c>
    </row>
    <row r="40" spans="1:2" x14ac:dyDescent="0.25">
      <c r="A40" s="8">
        <v>0.48</v>
      </c>
      <c r="B40">
        <v>4</v>
      </c>
    </row>
    <row r="41" spans="1:2" x14ac:dyDescent="0.25">
      <c r="A41" s="8">
        <v>0.49</v>
      </c>
      <c r="B41">
        <v>12</v>
      </c>
    </row>
    <row r="42" spans="1:2" x14ac:dyDescent="0.25">
      <c r="A42" s="8">
        <v>0.5</v>
      </c>
      <c r="B42">
        <v>7</v>
      </c>
    </row>
    <row r="43" spans="1:2" x14ac:dyDescent="0.25">
      <c r="A43" s="8">
        <v>0.51</v>
      </c>
      <c r="B43">
        <v>1</v>
      </c>
    </row>
    <row r="44" spans="1:2" x14ac:dyDescent="0.25">
      <c r="A44" s="8">
        <v>0.52</v>
      </c>
      <c r="B44">
        <v>2</v>
      </c>
    </row>
    <row r="45" spans="1:2" x14ac:dyDescent="0.25">
      <c r="A45" s="8">
        <v>0.53</v>
      </c>
      <c r="B45">
        <v>2</v>
      </c>
    </row>
    <row r="46" spans="1:2" x14ac:dyDescent="0.25">
      <c r="A46" s="8">
        <v>0.54</v>
      </c>
      <c r="B46">
        <v>2</v>
      </c>
    </row>
    <row r="47" spans="1:2" x14ac:dyDescent="0.25">
      <c r="A47" s="8">
        <v>0.55000000000000004</v>
      </c>
      <c r="B47">
        <v>2</v>
      </c>
    </row>
    <row r="48" spans="1:2" x14ac:dyDescent="0.25">
      <c r="A48" s="8">
        <v>0.61</v>
      </c>
      <c r="B48">
        <v>1</v>
      </c>
    </row>
    <row r="49" spans="1:2" x14ac:dyDescent="0.25">
      <c r="A49" s="8">
        <v>0.64</v>
      </c>
      <c r="B49">
        <v>1</v>
      </c>
    </row>
    <row r="50" spans="1:2" x14ac:dyDescent="0.25">
      <c r="A50" s="8" t="s">
        <v>128</v>
      </c>
      <c r="B50">
        <v>109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01C84-EFB3-4E25-9EB4-BD55A17C0F68}">
  <dimension ref="A2:B27"/>
  <sheetViews>
    <sheetView topLeftCell="A2" workbookViewId="0">
      <selection activeCell="B16" sqref="B16"/>
    </sheetView>
  </sheetViews>
  <sheetFormatPr defaultRowHeight="15" x14ac:dyDescent="0.25"/>
  <cols>
    <col min="1" max="1" width="12.42578125" bestFit="1" customWidth="1"/>
    <col min="2" max="2" width="22.28515625" bestFit="1" customWidth="1"/>
  </cols>
  <sheetData>
    <row r="2" spans="1:2" x14ac:dyDescent="0.25">
      <c r="A2" t="s">
        <v>143</v>
      </c>
    </row>
    <row r="3" spans="1:2" x14ac:dyDescent="0.25">
      <c r="A3" s="6" t="s">
        <v>124</v>
      </c>
      <c r="B3" t="s">
        <v>136</v>
      </c>
    </row>
    <row r="4" spans="1:2" x14ac:dyDescent="0.25">
      <c r="A4" s="7">
        <v>2</v>
      </c>
      <c r="B4">
        <v>1</v>
      </c>
    </row>
    <row r="5" spans="1:2" x14ac:dyDescent="0.25">
      <c r="A5" s="7">
        <v>2.1</v>
      </c>
      <c r="B5">
        <v>2</v>
      </c>
    </row>
    <row r="6" spans="1:2" x14ac:dyDescent="0.25">
      <c r="A6" s="7">
        <v>2.2000000000000002</v>
      </c>
      <c r="B6">
        <v>2</v>
      </c>
    </row>
    <row r="7" spans="1:2" x14ac:dyDescent="0.25">
      <c r="A7" s="7">
        <v>2.2999999999999998</v>
      </c>
      <c r="B7">
        <v>2</v>
      </c>
    </row>
    <row r="8" spans="1:2" x14ac:dyDescent="0.25">
      <c r="A8" s="7">
        <v>2.5</v>
      </c>
      <c r="B8">
        <v>1</v>
      </c>
    </row>
    <row r="9" spans="1:2" x14ac:dyDescent="0.25">
      <c r="A9" s="7">
        <v>2.6</v>
      </c>
      <c r="B9">
        <v>1</v>
      </c>
    </row>
    <row r="10" spans="1:2" x14ac:dyDescent="0.25">
      <c r="A10" s="7">
        <v>2.7</v>
      </c>
      <c r="B10">
        <v>1</v>
      </c>
    </row>
    <row r="11" spans="1:2" x14ac:dyDescent="0.25">
      <c r="A11" s="7">
        <v>2.8</v>
      </c>
      <c r="B11">
        <v>1</v>
      </c>
    </row>
    <row r="12" spans="1:2" x14ac:dyDescent="0.25">
      <c r="A12" s="7">
        <v>2.9</v>
      </c>
      <c r="B12">
        <v>1</v>
      </c>
    </row>
    <row r="13" spans="1:2" x14ac:dyDescent="0.25">
      <c r="A13" s="7">
        <v>3</v>
      </c>
      <c r="B13">
        <v>5</v>
      </c>
    </row>
    <row r="14" spans="1:2" x14ac:dyDescent="0.25">
      <c r="A14" s="7">
        <v>3.3</v>
      </c>
      <c r="B14">
        <v>1</v>
      </c>
    </row>
    <row r="15" spans="1:2" x14ac:dyDescent="0.25">
      <c r="A15" s="7">
        <v>3.8</v>
      </c>
      <c r="B15">
        <v>3</v>
      </c>
    </row>
    <row r="16" spans="1:2" x14ac:dyDescent="0.25">
      <c r="A16" s="7">
        <v>4</v>
      </c>
      <c r="B16">
        <v>4</v>
      </c>
    </row>
    <row r="17" spans="1:2" x14ac:dyDescent="0.25">
      <c r="A17" s="7">
        <v>4.0999999999999996</v>
      </c>
      <c r="B17">
        <v>3</v>
      </c>
    </row>
    <row r="18" spans="1:2" x14ac:dyDescent="0.25">
      <c r="A18" s="7">
        <v>4.2</v>
      </c>
      <c r="B18">
        <v>1</v>
      </c>
    </row>
    <row r="19" spans="1:2" x14ac:dyDescent="0.25">
      <c r="A19" s="7">
        <v>4.3</v>
      </c>
      <c r="B19">
        <v>4</v>
      </c>
    </row>
    <row r="20" spans="1:2" x14ac:dyDescent="0.25">
      <c r="A20" s="7">
        <v>4.4000000000000004</v>
      </c>
      <c r="B20">
        <v>1</v>
      </c>
    </row>
    <row r="21" spans="1:2" x14ac:dyDescent="0.25">
      <c r="A21" s="7">
        <v>4.5</v>
      </c>
      <c r="B21">
        <v>4</v>
      </c>
    </row>
    <row r="22" spans="1:2" x14ac:dyDescent="0.25">
      <c r="A22" s="7">
        <v>4.5999999999999996</v>
      </c>
      <c r="B22">
        <v>5</v>
      </c>
    </row>
    <row r="23" spans="1:2" x14ac:dyDescent="0.25">
      <c r="A23" s="7">
        <v>4.7</v>
      </c>
      <c r="B23">
        <v>4</v>
      </c>
    </row>
    <row r="24" spans="1:2" x14ac:dyDescent="0.25">
      <c r="A24" s="7">
        <v>4.8</v>
      </c>
      <c r="B24">
        <v>3</v>
      </c>
    </row>
    <row r="25" spans="1:2" x14ac:dyDescent="0.25">
      <c r="A25" s="7">
        <v>5</v>
      </c>
      <c r="B25">
        <v>7</v>
      </c>
    </row>
    <row r="26" spans="1:2" x14ac:dyDescent="0.25">
      <c r="A26" s="7" t="s">
        <v>114</v>
      </c>
      <c r="B26">
        <v>52</v>
      </c>
    </row>
    <row r="27" spans="1:2" x14ac:dyDescent="0.25">
      <c r="A27" s="7" t="s">
        <v>128</v>
      </c>
      <c r="B27">
        <v>109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DA6E-E477-42DF-9686-88328ABF388F}">
  <dimension ref="A2:B50"/>
  <sheetViews>
    <sheetView topLeftCell="A2" workbookViewId="0">
      <selection activeCell="B10" sqref="B10"/>
    </sheetView>
  </sheetViews>
  <sheetFormatPr defaultRowHeight="15" x14ac:dyDescent="0.25"/>
  <cols>
    <col min="1" max="1" width="12.42578125" bestFit="1" customWidth="1"/>
    <col min="2" max="2" width="22.28515625" bestFit="1" customWidth="1"/>
    <col min="3" max="3" width="12.85546875" bestFit="1" customWidth="1"/>
  </cols>
  <sheetData>
    <row r="2" spans="1:2" x14ac:dyDescent="0.25">
      <c r="A2" t="s">
        <v>144</v>
      </c>
    </row>
    <row r="3" spans="1:2" x14ac:dyDescent="0.25">
      <c r="A3" s="6" t="s">
        <v>124</v>
      </c>
      <c r="B3" t="s">
        <v>136</v>
      </c>
    </row>
    <row r="4" spans="1:2" x14ac:dyDescent="0.25">
      <c r="A4" s="8">
        <v>0.01</v>
      </c>
      <c r="B4">
        <v>1</v>
      </c>
    </row>
    <row r="5" spans="1:2" x14ac:dyDescent="0.25">
      <c r="A5" s="8">
        <v>0.02</v>
      </c>
      <c r="B5">
        <v>6</v>
      </c>
    </row>
    <row r="6" spans="1:2" x14ac:dyDescent="0.25">
      <c r="A6" s="8">
        <v>0.03</v>
      </c>
      <c r="B6">
        <v>1</v>
      </c>
    </row>
    <row r="7" spans="1:2" x14ac:dyDescent="0.25">
      <c r="A7" s="8">
        <v>0.04</v>
      </c>
      <c r="B7">
        <v>2</v>
      </c>
    </row>
    <row r="8" spans="1:2" x14ac:dyDescent="0.25">
      <c r="A8" s="8">
        <v>0.08</v>
      </c>
      <c r="B8">
        <v>1</v>
      </c>
    </row>
    <row r="9" spans="1:2" x14ac:dyDescent="0.25">
      <c r="A9" s="8">
        <v>0.09</v>
      </c>
      <c r="B9">
        <v>1</v>
      </c>
    </row>
    <row r="10" spans="1:2" x14ac:dyDescent="0.25">
      <c r="A10" s="8">
        <v>0.11</v>
      </c>
      <c r="B10">
        <v>1</v>
      </c>
    </row>
    <row r="11" spans="1:2" x14ac:dyDescent="0.25">
      <c r="A11" s="8">
        <v>0.13</v>
      </c>
      <c r="B11">
        <v>1</v>
      </c>
    </row>
    <row r="12" spans="1:2" x14ac:dyDescent="0.25">
      <c r="A12" s="8">
        <v>0.14000000000000001</v>
      </c>
      <c r="B12">
        <v>2</v>
      </c>
    </row>
    <row r="13" spans="1:2" x14ac:dyDescent="0.25">
      <c r="A13" s="8">
        <v>0.18</v>
      </c>
      <c r="B13">
        <v>1</v>
      </c>
    </row>
    <row r="14" spans="1:2" x14ac:dyDescent="0.25">
      <c r="A14" s="8">
        <v>0.19</v>
      </c>
      <c r="B14">
        <v>1</v>
      </c>
    </row>
    <row r="15" spans="1:2" x14ac:dyDescent="0.25">
      <c r="A15" s="8">
        <v>0.2</v>
      </c>
      <c r="B15">
        <v>1</v>
      </c>
    </row>
    <row r="16" spans="1:2" x14ac:dyDescent="0.25">
      <c r="A16" s="8">
        <v>0.21</v>
      </c>
      <c r="B16">
        <v>1</v>
      </c>
    </row>
    <row r="17" spans="1:2" x14ac:dyDescent="0.25">
      <c r="A17" s="8">
        <v>0.22</v>
      </c>
      <c r="B17">
        <v>2</v>
      </c>
    </row>
    <row r="18" spans="1:2" x14ac:dyDescent="0.25">
      <c r="A18" s="8">
        <v>0.23</v>
      </c>
      <c r="B18">
        <v>1</v>
      </c>
    </row>
    <row r="19" spans="1:2" x14ac:dyDescent="0.25">
      <c r="A19" s="8">
        <v>0.24</v>
      </c>
      <c r="B19">
        <v>2</v>
      </c>
    </row>
    <row r="20" spans="1:2" x14ac:dyDescent="0.25">
      <c r="A20" s="8">
        <v>0.25</v>
      </c>
      <c r="B20">
        <v>1</v>
      </c>
    </row>
    <row r="21" spans="1:2" x14ac:dyDescent="0.25">
      <c r="A21" s="8">
        <v>0.26</v>
      </c>
      <c r="B21">
        <v>1</v>
      </c>
    </row>
    <row r="22" spans="1:2" x14ac:dyDescent="0.25">
      <c r="A22" s="8">
        <v>0.27</v>
      </c>
      <c r="B22">
        <v>3</v>
      </c>
    </row>
    <row r="23" spans="1:2" x14ac:dyDescent="0.25">
      <c r="A23" s="8">
        <v>0.28999999999999998</v>
      </c>
      <c r="B23">
        <v>1</v>
      </c>
    </row>
    <row r="24" spans="1:2" x14ac:dyDescent="0.25">
      <c r="A24" s="8">
        <v>0.3</v>
      </c>
      <c r="B24">
        <v>1</v>
      </c>
    </row>
    <row r="25" spans="1:2" x14ac:dyDescent="0.25">
      <c r="A25" s="8">
        <v>0.32</v>
      </c>
      <c r="B25">
        <v>1</v>
      </c>
    </row>
    <row r="26" spans="1:2" x14ac:dyDescent="0.25">
      <c r="A26" s="8">
        <v>0.33</v>
      </c>
      <c r="B26">
        <v>2</v>
      </c>
    </row>
    <row r="27" spans="1:2" x14ac:dyDescent="0.25">
      <c r="A27" s="8">
        <v>0.34</v>
      </c>
      <c r="B27">
        <v>4</v>
      </c>
    </row>
    <row r="28" spans="1:2" x14ac:dyDescent="0.25">
      <c r="A28" s="8">
        <v>0.35</v>
      </c>
      <c r="B28">
        <v>2</v>
      </c>
    </row>
    <row r="29" spans="1:2" x14ac:dyDescent="0.25">
      <c r="A29" s="8">
        <v>0.36</v>
      </c>
      <c r="B29">
        <v>1</v>
      </c>
    </row>
    <row r="30" spans="1:2" x14ac:dyDescent="0.25">
      <c r="A30" s="8">
        <v>0.37</v>
      </c>
      <c r="B30">
        <v>2</v>
      </c>
    </row>
    <row r="31" spans="1:2" x14ac:dyDescent="0.25">
      <c r="A31" s="8">
        <v>0.38</v>
      </c>
      <c r="B31">
        <v>4</v>
      </c>
    </row>
    <row r="32" spans="1:2" x14ac:dyDescent="0.25">
      <c r="A32" s="8">
        <v>0.39</v>
      </c>
      <c r="B32">
        <v>1</v>
      </c>
    </row>
    <row r="33" spans="1:2" x14ac:dyDescent="0.25">
      <c r="A33" s="8">
        <v>0.4</v>
      </c>
      <c r="B33">
        <v>1</v>
      </c>
    </row>
    <row r="34" spans="1:2" x14ac:dyDescent="0.25">
      <c r="A34" s="8">
        <v>0.41</v>
      </c>
      <c r="B34">
        <v>3</v>
      </c>
    </row>
    <row r="35" spans="1:2" x14ac:dyDescent="0.25">
      <c r="A35" s="8">
        <v>0.42</v>
      </c>
      <c r="B35">
        <v>4</v>
      </c>
    </row>
    <row r="36" spans="1:2" x14ac:dyDescent="0.25">
      <c r="A36" s="8">
        <v>0.43</v>
      </c>
      <c r="B36">
        <v>4</v>
      </c>
    </row>
    <row r="37" spans="1:2" x14ac:dyDescent="0.25">
      <c r="A37" s="8">
        <v>0.45</v>
      </c>
      <c r="B37">
        <v>4</v>
      </c>
    </row>
    <row r="38" spans="1:2" x14ac:dyDescent="0.25">
      <c r="A38" s="8">
        <v>0.46</v>
      </c>
      <c r="B38">
        <v>3</v>
      </c>
    </row>
    <row r="39" spans="1:2" x14ac:dyDescent="0.25">
      <c r="A39" s="8">
        <v>0.47</v>
      </c>
      <c r="B39">
        <v>7</v>
      </c>
    </row>
    <row r="40" spans="1:2" x14ac:dyDescent="0.25">
      <c r="A40" s="8">
        <v>0.48</v>
      </c>
      <c r="B40">
        <v>4</v>
      </c>
    </row>
    <row r="41" spans="1:2" x14ac:dyDescent="0.25">
      <c r="A41" s="8">
        <v>0.49</v>
      </c>
      <c r="B41">
        <v>12</v>
      </c>
    </row>
    <row r="42" spans="1:2" x14ac:dyDescent="0.25">
      <c r="A42" s="8">
        <v>0.5</v>
      </c>
      <c r="B42">
        <v>7</v>
      </c>
    </row>
    <row r="43" spans="1:2" x14ac:dyDescent="0.25">
      <c r="A43" s="8">
        <v>0.51</v>
      </c>
      <c r="B43">
        <v>1</v>
      </c>
    </row>
    <row r="44" spans="1:2" x14ac:dyDescent="0.25">
      <c r="A44" s="8">
        <v>0.52</v>
      </c>
      <c r="B44">
        <v>2</v>
      </c>
    </row>
    <row r="45" spans="1:2" x14ac:dyDescent="0.25">
      <c r="A45" s="8">
        <v>0.53</v>
      </c>
      <c r="B45">
        <v>2</v>
      </c>
    </row>
    <row r="46" spans="1:2" x14ac:dyDescent="0.25">
      <c r="A46" s="8">
        <v>0.54</v>
      </c>
      <c r="B46">
        <v>2</v>
      </c>
    </row>
    <row r="47" spans="1:2" x14ac:dyDescent="0.25">
      <c r="A47" s="8">
        <v>0.55000000000000004</v>
      </c>
      <c r="B47">
        <v>2</v>
      </c>
    </row>
    <row r="48" spans="1:2" x14ac:dyDescent="0.25">
      <c r="A48" s="8">
        <v>0.61</v>
      </c>
      <c r="B48">
        <v>1</v>
      </c>
    </row>
    <row r="49" spans="1:2" x14ac:dyDescent="0.25">
      <c r="A49" s="8">
        <v>0.64</v>
      </c>
      <c r="B49">
        <v>1</v>
      </c>
    </row>
    <row r="50" spans="1:2" x14ac:dyDescent="0.25">
      <c r="A50" s="8" t="s">
        <v>128</v>
      </c>
      <c r="B50">
        <v>109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C423A-8524-4E7F-81B5-55C9FC3360F8}">
  <dimension ref="A2:B8"/>
  <sheetViews>
    <sheetView workbookViewId="0">
      <selection activeCell="A6" sqref="A6"/>
    </sheetView>
  </sheetViews>
  <sheetFormatPr defaultRowHeight="15" x14ac:dyDescent="0.25"/>
  <cols>
    <col min="1" max="1" width="12.42578125" bestFit="1" customWidth="1"/>
    <col min="2" max="2" width="22.28515625" bestFit="1" customWidth="1"/>
  </cols>
  <sheetData>
    <row r="2" spans="1:2" x14ac:dyDescent="0.25">
      <c r="A2" t="s">
        <v>141</v>
      </c>
    </row>
    <row r="3" spans="1:2" x14ac:dyDescent="0.25">
      <c r="A3" s="6" t="s">
        <v>124</v>
      </c>
      <c r="B3" t="s">
        <v>136</v>
      </c>
    </row>
    <row r="4" spans="1:2" x14ac:dyDescent="0.25">
      <c r="A4" s="7" t="s">
        <v>121</v>
      </c>
      <c r="B4">
        <v>22</v>
      </c>
    </row>
    <row r="5" spans="1:2" x14ac:dyDescent="0.25">
      <c r="A5" s="7" t="s">
        <v>131</v>
      </c>
      <c r="B5">
        <v>23</v>
      </c>
    </row>
    <row r="6" spans="1:2" x14ac:dyDescent="0.25">
      <c r="A6" s="7" t="s">
        <v>132</v>
      </c>
      <c r="B6">
        <v>12</v>
      </c>
    </row>
    <row r="7" spans="1:2" x14ac:dyDescent="0.25">
      <c r="A7" s="7" t="s">
        <v>114</v>
      </c>
      <c r="B7">
        <v>52</v>
      </c>
    </row>
    <row r="8" spans="1:2" x14ac:dyDescent="0.25">
      <c r="A8" s="7" t="s">
        <v>128</v>
      </c>
      <c r="B8">
        <v>109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E833F-A561-438B-8786-FCCF576BFB65}">
  <dimension ref="A2:B14"/>
  <sheetViews>
    <sheetView workbookViewId="0">
      <selection activeCell="D8" sqref="D8"/>
    </sheetView>
  </sheetViews>
  <sheetFormatPr defaultRowHeight="15" x14ac:dyDescent="0.25"/>
  <cols>
    <col min="1" max="1" width="65.5703125" bestFit="1" customWidth="1"/>
    <col min="2" max="2" width="14" bestFit="1" customWidth="1"/>
  </cols>
  <sheetData>
    <row r="2" spans="1:2" x14ac:dyDescent="0.25">
      <c r="A2" t="s">
        <v>140</v>
      </c>
    </row>
    <row r="3" spans="1:2" x14ac:dyDescent="0.25">
      <c r="A3" s="6" t="s">
        <v>124</v>
      </c>
      <c r="B3" t="s">
        <v>137</v>
      </c>
    </row>
    <row r="4" spans="1:2" x14ac:dyDescent="0.25">
      <c r="A4" s="7" t="s">
        <v>25</v>
      </c>
      <c r="B4" s="1">
        <v>0.53</v>
      </c>
    </row>
    <row r="5" spans="1:2" x14ac:dyDescent="0.25">
      <c r="A5" s="7" t="s">
        <v>65</v>
      </c>
      <c r="B5" s="1">
        <v>0.55000000000000004</v>
      </c>
    </row>
    <row r="6" spans="1:2" x14ac:dyDescent="0.25">
      <c r="A6" s="7" t="s">
        <v>111</v>
      </c>
      <c r="B6" s="1">
        <v>0.64</v>
      </c>
    </row>
    <row r="7" spans="1:2" x14ac:dyDescent="0.25">
      <c r="A7" s="7" t="s">
        <v>41</v>
      </c>
      <c r="B7" s="1">
        <v>0.53</v>
      </c>
    </row>
    <row r="8" spans="1:2" x14ac:dyDescent="0.25">
      <c r="A8" s="7" t="s">
        <v>53</v>
      </c>
      <c r="B8" s="1">
        <v>0.61</v>
      </c>
    </row>
    <row r="9" spans="1:2" x14ac:dyDescent="0.25">
      <c r="A9" s="7" t="s">
        <v>35</v>
      </c>
      <c r="B9" s="1">
        <v>0.52</v>
      </c>
    </row>
    <row r="10" spans="1:2" x14ac:dyDescent="0.25">
      <c r="A10" s="7" t="s">
        <v>67</v>
      </c>
      <c r="B10" s="1">
        <v>0.52</v>
      </c>
    </row>
    <row r="11" spans="1:2" x14ac:dyDescent="0.25">
      <c r="A11" s="7" t="s">
        <v>29</v>
      </c>
      <c r="B11" s="1">
        <v>0.54</v>
      </c>
    </row>
    <row r="12" spans="1:2" x14ac:dyDescent="0.25">
      <c r="A12" s="7" t="s">
        <v>13</v>
      </c>
      <c r="B12" s="1">
        <v>0.55000000000000004</v>
      </c>
    </row>
    <row r="13" spans="1:2" x14ac:dyDescent="0.25">
      <c r="A13" s="7" t="s">
        <v>64</v>
      </c>
      <c r="B13" s="1">
        <v>0.54</v>
      </c>
    </row>
    <row r="14" spans="1:2" x14ac:dyDescent="0.25">
      <c r="A14" s="7" t="s">
        <v>128</v>
      </c>
      <c r="B14" s="1">
        <v>0.64</v>
      </c>
    </row>
  </sheetData>
  <conditionalFormatting sqref="A4:A13">
    <cfRule type="top10" dxfId="0" priority="1" rank="1"/>
  </conditionalFormatting>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7C13-6B0D-453E-A479-D88D2430EC4E}">
  <dimension ref="A2:B14"/>
  <sheetViews>
    <sheetView workbookViewId="0">
      <selection activeCell="G16" sqref="G16"/>
    </sheetView>
  </sheetViews>
  <sheetFormatPr defaultRowHeight="15" x14ac:dyDescent="0.25"/>
  <cols>
    <col min="1" max="1" width="59.42578125" bestFit="1" customWidth="1"/>
    <col min="2" max="2" width="21" bestFit="1" customWidth="1"/>
  </cols>
  <sheetData>
    <row r="2" spans="1:2" x14ac:dyDescent="0.25">
      <c r="A2" t="s">
        <v>139</v>
      </c>
    </row>
    <row r="3" spans="1:2" x14ac:dyDescent="0.25">
      <c r="A3" s="6" t="s">
        <v>124</v>
      </c>
      <c r="B3" t="s">
        <v>138</v>
      </c>
    </row>
    <row r="4" spans="1:2" x14ac:dyDescent="0.25">
      <c r="A4" s="7" t="s">
        <v>16</v>
      </c>
      <c r="B4">
        <v>39</v>
      </c>
    </row>
    <row r="5" spans="1:2" x14ac:dyDescent="0.25">
      <c r="A5" s="7" t="s">
        <v>66</v>
      </c>
      <c r="B5">
        <v>69</v>
      </c>
    </row>
    <row r="6" spans="1:2" x14ac:dyDescent="0.25">
      <c r="A6" s="7" t="s">
        <v>11</v>
      </c>
      <c r="B6">
        <v>55</v>
      </c>
    </row>
    <row r="7" spans="1:2" x14ac:dyDescent="0.25">
      <c r="A7" s="7" t="s">
        <v>24</v>
      </c>
      <c r="B7">
        <v>44</v>
      </c>
    </row>
    <row r="8" spans="1:2" x14ac:dyDescent="0.25">
      <c r="A8" s="7" t="s">
        <v>33</v>
      </c>
      <c r="B8">
        <v>20</v>
      </c>
    </row>
    <row r="9" spans="1:2" x14ac:dyDescent="0.25">
      <c r="A9" s="7" t="s">
        <v>39</v>
      </c>
      <c r="B9">
        <v>32</v>
      </c>
    </row>
    <row r="10" spans="1:2" x14ac:dyDescent="0.25">
      <c r="A10" s="7" t="s">
        <v>38</v>
      </c>
      <c r="B10">
        <v>20</v>
      </c>
    </row>
    <row r="11" spans="1:2" x14ac:dyDescent="0.25">
      <c r="A11" s="7" t="s">
        <v>30</v>
      </c>
      <c r="B11">
        <v>49</v>
      </c>
    </row>
    <row r="12" spans="1:2" x14ac:dyDescent="0.25">
      <c r="A12" s="7" t="s">
        <v>7</v>
      </c>
      <c r="B12">
        <v>24</v>
      </c>
    </row>
    <row r="13" spans="1:2" x14ac:dyDescent="0.25">
      <c r="A13" s="7" t="s">
        <v>42</v>
      </c>
      <c r="B13">
        <v>36</v>
      </c>
    </row>
    <row r="14" spans="1:2" x14ac:dyDescent="0.25">
      <c r="A14" s="7" t="s">
        <v>128</v>
      </c>
      <c r="B14">
        <v>388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431F-294A-46C9-A227-23EA1320419C}">
  <dimension ref="A2:B11"/>
  <sheetViews>
    <sheetView workbookViewId="0">
      <selection activeCell="B6" sqref="B6"/>
    </sheetView>
  </sheetViews>
  <sheetFormatPr defaultRowHeight="15" x14ac:dyDescent="0.25"/>
  <cols>
    <col min="1" max="1" width="62.7109375" bestFit="1" customWidth="1"/>
    <col min="2" max="2" width="12.7109375" bestFit="1" customWidth="1"/>
  </cols>
  <sheetData>
    <row r="2" spans="1:2" x14ac:dyDescent="0.25">
      <c r="A2" t="s">
        <v>149</v>
      </c>
    </row>
    <row r="3" spans="1:2" x14ac:dyDescent="0.25">
      <c r="A3" s="6" t="s">
        <v>124</v>
      </c>
      <c r="B3" t="s">
        <v>148</v>
      </c>
    </row>
    <row r="4" spans="1:2" x14ac:dyDescent="0.25">
      <c r="A4" s="7" t="s">
        <v>20</v>
      </c>
      <c r="B4">
        <v>5</v>
      </c>
    </row>
    <row r="5" spans="1:2" x14ac:dyDescent="0.25">
      <c r="A5" s="7" t="s">
        <v>22</v>
      </c>
      <c r="B5">
        <v>5</v>
      </c>
    </row>
    <row r="6" spans="1:2" x14ac:dyDescent="0.25">
      <c r="A6" s="7" t="s">
        <v>103</v>
      </c>
      <c r="B6">
        <v>5</v>
      </c>
    </row>
    <row r="7" spans="1:2" x14ac:dyDescent="0.25">
      <c r="A7" s="7" t="s">
        <v>83</v>
      </c>
      <c r="B7">
        <v>5</v>
      </c>
    </row>
    <row r="8" spans="1:2" x14ac:dyDescent="0.25">
      <c r="A8" s="7" t="s">
        <v>21</v>
      </c>
      <c r="B8">
        <v>5</v>
      </c>
    </row>
    <row r="9" spans="1:2" x14ac:dyDescent="0.25">
      <c r="A9" s="7" t="s">
        <v>41</v>
      </c>
      <c r="B9">
        <v>5</v>
      </c>
    </row>
    <row r="10" spans="1:2" x14ac:dyDescent="0.25">
      <c r="A10" s="7" t="s">
        <v>40</v>
      </c>
      <c r="B10">
        <v>5</v>
      </c>
    </row>
    <row r="11" spans="1:2" x14ac:dyDescent="0.25">
      <c r="A11" s="7" t="s">
        <v>128</v>
      </c>
      <c r="B11">
        <v>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463A5-607F-4F9D-86AC-363B1F0B3DED}">
  <dimension ref="A2:B56"/>
  <sheetViews>
    <sheetView workbookViewId="0">
      <selection activeCell="E29" sqref="E29"/>
    </sheetView>
  </sheetViews>
  <sheetFormatPr defaultRowHeight="15" x14ac:dyDescent="0.25"/>
  <cols>
    <col min="1" max="1" width="85.28515625" bestFit="1" customWidth="1"/>
    <col min="2" max="2" width="12.7109375" bestFit="1" customWidth="1"/>
  </cols>
  <sheetData>
    <row r="2" spans="1:2" x14ac:dyDescent="0.25">
      <c r="A2" t="s">
        <v>150</v>
      </c>
    </row>
    <row r="3" spans="1:2" x14ac:dyDescent="0.25">
      <c r="A3" s="6" t="s">
        <v>124</v>
      </c>
      <c r="B3" t="s">
        <v>148</v>
      </c>
    </row>
    <row r="4" spans="1:2" x14ac:dyDescent="0.25">
      <c r="A4" s="7" t="s">
        <v>108</v>
      </c>
      <c r="B4">
        <v>0</v>
      </c>
    </row>
    <row r="5" spans="1:2" x14ac:dyDescent="0.25">
      <c r="A5" s="7" t="s">
        <v>49</v>
      </c>
      <c r="B5">
        <v>0</v>
      </c>
    </row>
    <row r="6" spans="1:2" x14ac:dyDescent="0.25">
      <c r="A6" s="7" t="s">
        <v>106</v>
      </c>
      <c r="B6">
        <v>0</v>
      </c>
    </row>
    <row r="7" spans="1:2" x14ac:dyDescent="0.25">
      <c r="A7" s="7" t="s">
        <v>60</v>
      </c>
      <c r="B7">
        <v>0</v>
      </c>
    </row>
    <row r="8" spans="1:2" x14ac:dyDescent="0.25">
      <c r="A8" s="7" t="s">
        <v>105</v>
      </c>
      <c r="B8">
        <v>0</v>
      </c>
    </row>
    <row r="9" spans="1:2" x14ac:dyDescent="0.25">
      <c r="A9" s="7" t="s">
        <v>53</v>
      </c>
      <c r="B9">
        <v>0</v>
      </c>
    </row>
    <row r="10" spans="1:2" x14ac:dyDescent="0.25">
      <c r="A10" s="7" t="s">
        <v>52</v>
      </c>
      <c r="B10">
        <v>0</v>
      </c>
    </row>
    <row r="11" spans="1:2" x14ac:dyDescent="0.25">
      <c r="A11" s="7" t="s">
        <v>80</v>
      </c>
      <c r="B11">
        <v>0</v>
      </c>
    </row>
    <row r="12" spans="1:2" x14ac:dyDescent="0.25">
      <c r="A12" s="7" t="s">
        <v>79</v>
      </c>
      <c r="B12">
        <v>0</v>
      </c>
    </row>
    <row r="13" spans="1:2" x14ac:dyDescent="0.25">
      <c r="A13" s="7" t="s">
        <v>58</v>
      </c>
      <c r="B13">
        <v>0</v>
      </c>
    </row>
    <row r="14" spans="1:2" x14ac:dyDescent="0.25">
      <c r="A14" s="7" t="s">
        <v>45</v>
      </c>
      <c r="B14">
        <v>0</v>
      </c>
    </row>
    <row r="15" spans="1:2" x14ac:dyDescent="0.25">
      <c r="A15" s="7" t="s">
        <v>44</v>
      </c>
      <c r="B15">
        <v>0</v>
      </c>
    </row>
    <row r="16" spans="1:2" x14ac:dyDescent="0.25">
      <c r="A16" s="7" t="s">
        <v>84</v>
      </c>
      <c r="B16">
        <v>0</v>
      </c>
    </row>
    <row r="17" spans="1:2" x14ac:dyDescent="0.25">
      <c r="A17" s="7" t="s">
        <v>107</v>
      </c>
      <c r="B17">
        <v>0</v>
      </c>
    </row>
    <row r="18" spans="1:2" x14ac:dyDescent="0.25">
      <c r="A18" s="7" t="s">
        <v>95</v>
      </c>
      <c r="B18">
        <v>0</v>
      </c>
    </row>
    <row r="19" spans="1:2" x14ac:dyDescent="0.25">
      <c r="A19" s="7" t="s">
        <v>100</v>
      </c>
      <c r="B19">
        <v>0</v>
      </c>
    </row>
    <row r="20" spans="1:2" x14ac:dyDescent="0.25">
      <c r="A20" s="7" t="s">
        <v>81</v>
      </c>
      <c r="B20">
        <v>0</v>
      </c>
    </row>
    <row r="21" spans="1:2" x14ac:dyDescent="0.25">
      <c r="A21" s="7" t="s">
        <v>46</v>
      </c>
      <c r="B21">
        <v>0</v>
      </c>
    </row>
    <row r="22" spans="1:2" x14ac:dyDescent="0.25">
      <c r="A22" s="7" t="s">
        <v>104</v>
      </c>
      <c r="B22">
        <v>0</v>
      </c>
    </row>
    <row r="23" spans="1:2" x14ac:dyDescent="0.25">
      <c r="A23" s="7" t="s">
        <v>91</v>
      </c>
      <c r="B23">
        <v>0</v>
      </c>
    </row>
    <row r="24" spans="1:2" x14ac:dyDescent="0.25">
      <c r="A24" s="7" t="s">
        <v>101</v>
      </c>
      <c r="B24">
        <v>0</v>
      </c>
    </row>
    <row r="25" spans="1:2" x14ac:dyDescent="0.25">
      <c r="A25" s="7" t="s">
        <v>34</v>
      </c>
      <c r="B25">
        <v>0</v>
      </c>
    </row>
    <row r="26" spans="1:2" x14ac:dyDescent="0.25">
      <c r="A26" s="7" t="s">
        <v>113</v>
      </c>
      <c r="B26">
        <v>0</v>
      </c>
    </row>
    <row r="27" spans="1:2" x14ac:dyDescent="0.25">
      <c r="A27" s="7" t="s">
        <v>57</v>
      </c>
      <c r="B27">
        <v>0</v>
      </c>
    </row>
    <row r="28" spans="1:2" x14ac:dyDescent="0.25">
      <c r="A28" s="7" t="s">
        <v>51</v>
      </c>
      <c r="B28">
        <v>0</v>
      </c>
    </row>
    <row r="29" spans="1:2" x14ac:dyDescent="0.25">
      <c r="A29" s="7" t="s">
        <v>87</v>
      </c>
      <c r="B29">
        <v>0</v>
      </c>
    </row>
    <row r="30" spans="1:2" x14ac:dyDescent="0.25">
      <c r="A30" s="7" t="s">
        <v>62</v>
      </c>
      <c r="B30">
        <v>0</v>
      </c>
    </row>
    <row r="31" spans="1:2" x14ac:dyDescent="0.25">
      <c r="A31" s="7" t="s">
        <v>89</v>
      </c>
      <c r="B31">
        <v>0</v>
      </c>
    </row>
    <row r="32" spans="1:2" x14ac:dyDescent="0.25">
      <c r="A32" s="7" t="s">
        <v>96</v>
      </c>
      <c r="B32">
        <v>0</v>
      </c>
    </row>
    <row r="33" spans="1:2" x14ac:dyDescent="0.25">
      <c r="A33" s="7" t="s">
        <v>55</v>
      </c>
      <c r="B33">
        <v>0</v>
      </c>
    </row>
    <row r="34" spans="1:2" x14ac:dyDescent="0.25">
      <c r="A34" s="7" t="s">
        <v>99</v>
      </c>
      <c r="B34">
        <v>0</v>
      </c>
    </row>
    <row r="35" spans="1:2" x14ac:dyDescent="0.25">
      <c r="A35" s="7" t="s">
        <v>56</v>
      </c>
      <c r="B35">
        <v>0</v>
      </c>
    </row>
    <row r="36" spans="1:2" x14ac:dyDescent="0.25">
      <c r="A36" s="7" t="s">
        <v>111</v>
      </c>
      <c r="B36">
        <v>0</v>
      </c>
    </row>
    <row r="37" spans="1:2" x14ac:dyDescent="0.25">
      <c r="A37" s="7" t="s">
        <v>98</v>
      </c>
      <c r="B37">
        <v>0</v>
      </c>
    </row>
    <row r="38" spans="1:2" x14ac:dyDescent="0.25">
      <c r="A38" s="7" t="s">
        <v>102</v>
      </c>
      <c r="B38">
        <v>0</v>
      </c>
    </row>
    <row r="39" spans="1:2" x14ac:dyDescent="0.25">
      <c r="A39" s="7" t="s">
        <v>93</v>
      </c>
      <c r="B39">
        <v>0</v>
      </c>
    </row>
    <row r="40" spans="1:2" x14ac:dyDescent="0.25">
      <c r="A40" s="7" t="s">
        <v>47</v>
      </c>
      <c r="B40">
        <v>0</v>
      </c>
    </row>
    <row r="41" spans="1:2" x14ac:dyDescent="0.25">
      <c r="A41" s="7" t="s">
        <v>94</v>
      </c>
      <c r="B41">
        <v>0</v>
      </c>
    </row>
    <row r="42" spans="1:2" x14ac:dyDescent="0.25">
      <c r="A42" s="7" t="s">
        <v>88</v>
      </c>
      <c r="B42">
        <v>0</v>
      </c>
    </row>
    <row r="43" spans="1:2" x14ac:dyDescent="0.25">
      <c r="A43" s="7" t="s">
        <v>48</v>
      </c>
      <c r="B43">
        <v>0</v>
      </c>
    </row>
    <row r="44" spans="1:2" x14ac:dyDescent="0.25">
      <c r="A44" s="7" t="s">
        <v>78</v>
      </c>
      <c r="B44">
        <v>0</v>
      </c>
    </row>
    <row r="45" spans="1:2" x14ac:dyDescent="0.25">
      <c r="A45" s="7" t="s">
        <v>109</v>
      </c>
      <c r="B45">
        <v>0</v>
      </c>
    </row>
    <row r="46" spans="1:2" x14ac:dyDescent="0.25">
      <c r="A46" s="7" t="s">
        <v>50</v>
      </c>
      <c r="B46">
        <v>0</v>
      </c>
    </row>
    <row r="47" spans="1:2" x14ac:dyDescent="0.25">
      <c r="A47" s="7" t="s">
        <v>59</v>
      </c>
      <c r="B47">
        <v>0</v>
      </c>
    </row>
    <row r="48" spans="1:2" x14ac:dyDescent="0.25">
      <c r="A48" s="7" t="s">
        <v>54</v>
      </c>
      <c r="B48">
        <v>0</v>
      </c>
    </row>
    <row r="49" spans="1:2" x14ac:dyDescent="0.25">
      <c r="A49" s="7" t="s">
        <v>110</v>
      </c>
      <c r="B49">
        <v>0</v>
      </c>
    </row>
    <row r="50" spans="1:2" x14ac:dyDescent="0.25">
      <c r="A50" s="7" t="s">
        <v>26</v>
      </c>
      <c r="B50">
        <v>0</v>
      </c>
    </row>
    <row r="51" spans="1:2" x14ac:dyDescent="0.25">
      <c r="A51" s="7" t="s">
        <v>92</v>
      </c>
      <c r="B51">
        <v>0</v>
      </c>
    </row>
    <row r="52" spans="1:2" x14ac:dyDescent="0.25">
      <c r="A52" s="7" t="s">
        <v>85</v>
      </c>
      <c r="B52">
        <v>0</v>
      </c>
    </row>
    <row r="53" spans="1:2" x14ac:dyDescent="0.25">
      <c r="A53" s="7" t="s">
        <v>97</v>
      </c>
      <c r="B53">
        <v>0</v>
      </c>
    </row>
    <row r="54" spans="1:2" x14ac:dyDescent="0.25">
      <c r="A54" s="7" t="s">
        <v>61</v>
      </c>
      <c r="B54">
        <v>0</v>
      </c>
    </row>
    <row r="55" spans="1:2" x14ac:dyDescent="0.25">
      <c r="A55" s="7" t="s">
        <v>90</v>
      </c>
      <c r="B55">
        <v>0</v>
      </c>
    </row>
    <row r="56" spans="1:2" x14ac:dyDescent="0.25">
      <c r="A56" s="7" t="s">
        <v>128</v>
      </c>
      <c r="B56">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41585-F326-4E74-973C-7586976C5E6E}">
  <dimension ref="A1:C7"/>
  <sheetViews>
    <sheetView workbookViewId="0">
      <selection activeCell="F11" sqref="F11"/>
    </sheetView>
  </sheetViews>
  <sheetFormatPr defaultRowHeight="15" x14ac:dyDescent="0.25"/>
  <cols>
    <col min="1" max="1" width="15" bestFit="1" customWidth="1"/>
    <col min="2" max="2" width="22.28515625" bestFit="1" customWidth="1"/>
    <col min="3" max="3" width="16" bestFit="1" customWidth="1"/>
  </cols>
  <sheetData>
    <row r="1" spans="1:3" x14ac:dyDescent="0.25">
      <c r="A1" t="s">
        <v>151</v>
      </c>
    </row>
    <row r="2" spans="1:3" x14ac:dyDescent="0.25">
      <c r="A2" t="s">
        <v>152</v>
      </c>
    </row>
    <row r="3" spans="1:3" x14ac:dyDescent="0.25">
      <c r="A3" s="6" t="s">
        <v>124</v>
      </c>
      <c r="B3" t="s">
        <v>136</v>
      </c>
      <c r="C3" t="s">
        <v>129</v>
      </c>
    </row>
    <row r="4" spans="1:3" x14ac:dyDescent="0.25">
      <c r="A4" s="7" t="s">
        <v>125</v>
      </c>
      <c r="B4">
        <v>59</v>
      </c>
      <c r="C4">
        <v>3.6133333333333328</v>
      </c>
    </row>
    <row r="5" spans="1:3" x14ac:dyDescent="0.25">
      <c r="A5" s="7" t="s">
        <v>126</v>
      </c>
      <c r="B5">
        <v>18</v>
      </c>
      <c r="C5">
        <v>3.7249999999999996</v>
      </c>
    </row>
    <row r="6" spans="1:3" x14ac:dyDescent="0.25">
      <c r="A6" s="7" t="s">
        <v>127</v>
      </c>
      <c r="B6">
        <v>32</v>
      </c>
      <c r="C6">
        <v>4.2782608695652176</v>
      </c>
    </row>
    <row r="7" spans="1:3" x14ac:dyDescent="0.25">
      <c r="A7" s="7" t="s">
        <v>128</v>
      </c>
      <c r="B7">
        <v>109</v>
      </c>
      <c r="C7">
        <v>3.8894736842105253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0A5A7-D4A0-4A8F-A8CA-1EAB73487DD7}">
  <dimension ref="A1"/>
  <sheetViews>
    <sheetView tabSelected="1" zoomScale="80" zoomScaleNormal="80" workbookViewId="0">
      <selection activeCell="T135" sqref="T135"/>
    </sheetView>
  </sheetViews>
  <sheetFormatPr defaultColWidth="8.85546875" defaultRowHeight="15" x14ac:dyDescent="0.25"/>
  <cols>
    <col min="1" max="16384" width="8.85546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28C84D-3AD8-4C08-8AEE-572F76F9F7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Excel_jumia</vt:lpstr>
      <vt:lpstr>Product Discount Categories</vt:lpstr>
      <vt:lpstr>Total Number of Products Review</vt:lpstr>
      <vt:lpstr>Averages</vt:lpstr>
      <vt:lpstr>Average Rating of Discount</vt:lpstr>
      <vt:lpstr>Product Distribution Rating Ca</vt:lpstr>
      <vt:lpstr>Discount % vs Reviews</vt:lpstr>
      <vt:lpstr>Rating vs Reviews</vt:lpstr>
      <vt:lpstr>Discount % C.Engagement</vt:lpstr>
      <vt:lpstr>Higher Rating vs Reviews</vt:lpstr>
      <vt:lpstr>Top 10 Discounts</vt:lpstr>
      <vt:lpstr>Top 10 Reviews</vt:lpstr>
      <vt:lpstr>Top 5 Highest rated products</vt:lpstr>
      <vt:lpstr>Bottom 5 lowest-rated products</vt:lpstr>
      <vt:lpstr>Discount, Reviews, Ratings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Vokeh</dc:creator>
  <cp:lastModifiedBy>Cohort  Seven</cp:lastModifiedBy>
  <dcterms:created xsi:type="dcterms:W3CDTF">2026-03-18T07:17:55Z</dcterms:created>
  <dcterms:modified xsi:type="dcterms:W3CDTF">2026-06-04T08:08:51Z</dcterms:modified>
</cp:coreProperties>
</file>